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3"/>
    <sheet state="visible" name="projectcontribution" sheetId="2" r:id="rId4"/>
    <sheet state="visible" name="studentName" sheetId="3" r:id="rId5"/>
    <sheet state="visible" name="IqraChaudhary" sheetId="4" r:id="rId6"/>
    <sheet state="visible" name="TetianaKorchynska" sheetId="5" r:id="rId7"/>
    <sheet state="visible" name="HongjieZhang" sheetId="6" r:id="rId8"/>
    <sheet state="visible" name="ThomasIliev" sheetId="7" r:id="rId9"/>
    <sheet state="visible" name="GrantHovey" sheetId="8" r:id="rId10"/>
    <sheet state="visible" name="Xuelin Min" sheetId="9" r:id="rId11"/>
  </sheets>
  <definedNames/>
  <calcPr/>
</workbook>
</file>

<file path=xl/sharedStrings.xml><?xml version="1.0" encoding="utf-8"?>
<sst xmlns="http://schemas.openxmlformats.org/spreadsheetml/2006/main" count="451" uniqueCount="266">
  <si>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</si>
  <si>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</si>
  <si>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</si>
  <si>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</si>
  <si>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</si>
  <si>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</si>
  <si>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</si>
  <si>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</si>
  <si>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</si>
  <si>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</si>
  <si>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</si>
  <si>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</si>
  <si>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</si>
  <si>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</si>
  <si>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</si>
  <si>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</si>
  <si>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</si>
  <si>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</si>
  <si>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</si>
  <si>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</si>
  <si>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</si>
  <si>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</si>
  <si>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</si>
  <si>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</si>
  <si>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</si>
  <si>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5/7/25-5/15/25</t>
  </si>
  <si>
    <t>Finalized project idea. Assigned team roles. Set up shared workspace.</t>
  </si>
  <si>
    <t>Scheduling conflicts. Shift in team members.</t>
  </si>
  <si>
    <t>Created a shared document checklist for each team member to follow</t>
  </si>
  <si>
    <t>-</t>
  </si>
  <si>
    <t>5/15/25-5/26/25</t>
  </si>
  <si>
    <t>Finished login/registration. set up docker environment. set up backend</t>
  </si>
  <si>
    <t>Issues with deployment</t>
  </si>
  <si>
    <t>Members taking on each other's responsibilities. Lack of communication.</t>
  </si>
  <si>
    <t>Begin working on tasks earlier to avoid tech issues. Make sure we're keeping track of each other's responsilbities, communicate</t>
  </si>
  <si>
    <t>5/27-6-9</t>
  </si>
  <si>
    <t xml:space="preserve">Finished story generation UI (story rendering, character carousel). Read-along view frontend underway. OpenAI API integration for text, image and audio generation. Firebase media storage and firstore integration. End to end testing environment. </t>
  </si>
  <si>
    <t>Docker builds slow or failed. Issues with tests and configuration errors. Github desktop repo path and sync issues. Text/audio sync issue. Layout inconsistencies and overflow/height bugs</t>
  </si>
  <si>
    <t>Communication. Scheduling/showing up to meetings. Need more proactive collab during slower weeks. Some members not consistenly updating each other. occasional lack of follow-through.</t>
  </si>
  <si>
    <t>Ensure more regular communications, share responsibility for features more evenly. Define task ownership clearly. Use meetings to clarify expectations and sync progress. Follow up on unresolved issues quicker.</t>
  </si>
  <si>
    <t>6/10-6/16</t>
  </si>
  <si>
    <t>Fixed bugs. App responsiveness. Implemented image upload/story functionality. Set up firebase project and storage. Fixed tests that no longer functioned due to codebase changes. Unified app's UI design. Improved GitHub Actions pipeline. Resolved config errors.</t>
  </si>
  <si>
    <t>App responsiveness. Text/audio sync issues. CI improvements weren't working.</t>
  </si>
  <si>
    <t xml:space="preserve">Lack of communication. Lack of showing up in a timely manner. </t>
  </si>
  <si>
    <t xml:space="preserve"> Reminder that members depend on each other. Keep checking in. </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</si>
  <si>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</si>
  <si>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</si>
  <si>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</si>
  <si>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</si>
  <si>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</si>
  <si>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</si>
  <si>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</si>
  <si>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</si>
  <si>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</si>
  <si>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</si>
  <si>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</si>
  <si>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</si>
  <si>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Iqra Chaudhary</t>
  </si>
  <si>
    <t>Risk Management, Timeline</t>
  </si>
  <si>
    <t>Add bookmark icon on story screen, bookmark favorite stories, recently played stories</t>
  </si>
  <si>
    <t>Business Logic and/or Key Algorithms, Design Patterns, AI usage log</t>
  </si>
  <si>
    <t>Powerpoints 0, 1, 3
Presentation 0, 3</t>
  </si>
  <si>
    <t>Frontend contact/about, loading screen</t>
  </si>
  <si>
    <t>loading screen manual</t>
  </si>
  <si>
    <t>Docker setup, Git branch &amp; workflow configurations</t>
  </si>
  <si>
    <t>Run meetings, delegate, discord communication (group and individual), make sure things get done for each iteration/lab</t>
  </si>
  <si>
    <t>Tetiana Korchynska</t>
  </si>
  <si>
    <t>Functional requirements (+mock-ups), AI Usage Log, References, Glossary, formatted the document</t>
  </si>
  <si>
    <t>Defined user stories, ensured coverage of essential and desirable features. Brock some features into tasks and sub-tasks.</t>
  </si>
  <si>
    <t>UI Design, References, Glossary, and AI Usage Log;  formatted the document</t>
  </si>
  <si>
    <t>References &amp; Glossary; formatted the document</t>
  </si>
  <si>
    <t>Presentation 
1, 3
Powerpoint 
3
Created styled slides template later used in powerpoints 2, 3</t>
  </si>
  <si>
    <t>Frontend code/part of the code/major or minor style and responsiveness fixes for:
- Home
- Navigation
- Footer
- SignIn/SignUp
- About
- Contact
- Generate A Story
- Settings
- My Stories</t>
  </si>
  <si>
    <t>Wrote unit test for StoryRenderingView within Lab 3 (did not commit to Github)</t>
  </si>
  <si>
    <t>Set up Docker locally, configured Jest for local test environment; resolved local environment issues with Git and CI conflicts</t>
  </si>
  <si>
    <t>Collected, organized, and shared each iteration and labs requirements, actively participated in team meetings and discussions.</t>
  </si>
  <si>
    <t>Hongjie Zhang</t>
  </si>
  <si>
    <t xml:space="preserve">Filled the Overview, Related work, Management Plan,
Configuration Management Plan,
Quality Assurance Plan and Quality Assurance Plan
</t>
  </si>
  <si>
    <t>Requirement analysis and task management using GitHub Kanban boards</t>
  </si>
  <si>
    <t>Filled sections: Introduction, Software Architecture, Class Diagram, Database Design, insert images/ diagrams</t>
  </si>
  <si>
    <t>Filled Testing Summary, Manual Tests Reports, Automated Testing Reports, Testing Metrics</t>
  </si>
  <si>
    <t>Iteration2 Demo presentation
Final presentation / Demo presentation</t>
  </si>
  <si>
    <t>All code on the backend and some frontend react  pages/componenets such as context and hooks and my stories page and loading aninmation</t>
  </si>
  <si>
    <t>Testing with Jest for MongoDB models and controllers, including story and user controllers, plus complete API endpoint testing</t>
  </si>
  <si>
    <t>Containerized backend deployment using Docker and Heroku, with frontend hosted on Netlify</t>
  </si>
  <si>
    <t>Agile project management with GitHub Kanban boards</t>
  </si>
  <si>
    <t>Thomas Iliev</t>
  </si>
  <si>
    <t>Risk Management</t>
  </si>
  <si>
    <t>Defined user stories, assigned myself to tasks, marked tasks as completed</t>
  </si>
  <si>
    <t>Updated Automated Testing Reports, Testing Metrics, References</t>
  </si>
  <si>
    <t>Created the Iteration 2 Presentation Powerpoint and partially presented, presented the testing portion of the final presentation</t>
  </si>
  <si>
    <t>All testing on the frontend and a version of the Contact page that ended up being replaced</t>
  </si>
  <si>
    <t>Testing with Vitest and React Testing Library for full coverage pages/components on the frontend</t>
  </si>
  <si>
    <t>Fully configured the frontend testing environment, setup docker locally</t>
  </si>
  <si>
    <t>Attended and actively participated in all team meetings and communicated through Discord</t>
  </si>
  <si>
    <t>Grant Hovey</t>
  </si>
  <si>
    <t>Configuration management</t>
  </si>
  <si>
    <t>CI/CD</t>
  </si>
  <si>
    <t>Iteration 1 demo
Final powerpoint and presentation</t>
  </si>
  <si>
    <t>story read along view
(stayed in its own branch)</t>
  </si>
  <si>
    <t>Dockerfiles, docker-compose, ci.yml
Integrated Trivy, CodeQL, Coberatura, NPM audit</t>
  </si>
  <si>
    <t>Joined group late after first group dissolved</t>
  </si>
  <si>
    <t>Xuelin Min</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</si>
  <si>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</si>
  <si>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</si>
  <si>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</si>
  <si>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</si>
  <si>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</si>
  <si>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</si>
  <si>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</si>
  <si>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</si>
  <si>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</si>
  <si>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</si>
  <si>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</si>
  <si>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</si>
  <si>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</si>
  <si>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</si>
  <si>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</si>
  <si>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</si>
  <si>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</si>
  <si>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</si>
  <si>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</si>
  <si>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</si>
  <si>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r>
      <rPr>
        <rFont val="Arial"/>
        <b/>
      </rPr>
      <t>Your Lead Roles</t>
    </r>
    <r>
      <rPr>
        <rFont val="Arial"/>
      </rPr>
      <t>: Team Leader</t>
    </r>
  </si>
  <si>
    <t>5/7-5/15</t>
  </si>
  <si>
    <t>0- learn git/github 
5- set up meetings, send reminders to team members, check in on progress, meetings
7- research role, understand project requirements, presentation powerpoint and recording</t>
  </si>
  <si>
    <t>Use chatgpt to help set up repository on GitHub Desktop, create branch lab1</t>
  </si>
  <si>
    <t>1. Write out meeting minutes
2. Fill in progress report
3. Add some risks in report
4. Set up repository</t>
  </si>
  <si>
    <t>1. Schedules don't always align</t>
  </si>
  <si>
    <t>1. Doc shared with team members to keep up with their own tasks by requirement leader</t>
  </si>
  <si>
    <t xml:space="preserve">1. Find a time and day that works for everyone
2. Create an agenda so we can knock out everything in one meeting </t>
  </si>
  <si>
    <t>5/15-5/26</t>
  </si>
  <si>
    <t>0- learn docker, kanban user stories/issues, understanding others roles to better understand what is expected
5- set up meetings, send reminders to team members, check in on progress, meetings
6- set up docker
7- reserach iteration 1 requirements, powerpoint, worked on SDD, finished meeting minutes</t>
  </si>
  <si>
    <t>Use chatgpt to help set up docker, how to create kanban issues</t>
  </si>
  <si>
    <t>1. Write out meeting minutes
2. Fill in progress report
3. Fill out SDD sections
4. Created powerpoint slideshow
5. Added issues to Kanban</t>
  </si>
  <si>
    <t>1. Docker was not working properly
2. Needed more help creating issues correctly</t>
  </si>
  <si>
    <t>1. Used chatgpt to get through the docker issues
2. Team member demonstrated how to accurately create tasks</t>
  </si>
  <si>
    <t>1. Make sure everyone has some responsiblity to contribute
2. Continue to learn and understand expectations for each iteration, research</t>
  </si>
  <si>
    <t>5/27-6/9</t>
  </si>
  <si>
    <t>0- researched vite/testing, learned how to resolve building/loading issues in app development
1- reviewed expectations for contact/about pages, verified feature requirments for loading screen
2- structured responsive layout to match existing UI, integrating visuals and texts
3- developed animated loading screen, built contact/about pages
4- created and ran test for TDD
5- set up meetings, send reminders to team members, check in on progress, meetings
6- diagnosed local environment failure with Vite, diagnose issues with local build environment</t>
  </si>
  <si>
    <t>Use chatgpt to debug frontend build and runtime issues, guidance on Vite testing, generate responsive layouts with consistent styling</t>
  </si>
  <si>
    <t>1. Built and styled Contact/About pages
2. Developed loading screen
3. Created and submitted pull requests for both features
4. Fill out progress report
5. Fill out SDD</t>
  </si>
  <si>
    <t>1. Docker build extremely slow
2. Vitest failed to run tests consistently
3. Animated text logic caused issues
4. Layout issues</t>
  </si>
  <si>
    <t>1. Adjusted test setup
2. Removed text animation due to presistent bugs
3. Added overflow/height fixes and spacing adjustments
4. Added .dockerignore to reduce build size slightly</t>
  </si>
  <si>
    <t>1. Fix any persistent issues in code
2. Work on desired features</t>
  </si>
  <si>
    <t>4- run app to determine bugs
5- send reminders to team members, check in on progress, meeting
7- create powerpoint, presentation, SPPP risk and timeline, mm agenda</t>
  </si>
  <si>
    <t>Use chatgpt to improve my writing for the presentation slides</t>
  </si>
  <si>
    <t>1. Fill out progress report (including project contribution tab)
2. Fill out SPPP
3. Created powerpoint
4. Recorded presentation
5. Meeting minutes agenda</t>
  </si>
  <si>
    <t>1. Some bugs in the app specifically mobile</t>
  </si>
  <si>
    <t>1. Communicated with teammates about bugs to fix</t>
  </si>
  <si>
    <r>
      <rPr>
        <rFont val="Arial"/>
        <b/>
      </rPr>
      <t>Your Lead Roles</t>
    </r>
    <r>
      <rPr>
        <rFont val="Arial"/>
      </rPr>
      <t>: Requirement leader, Design and Implementation Lead</t>
    </r>
  </si>
  <si>
    <t>5/7 - 5/14</t>
  </si>
  <si>
    <t>0 - learned how to work in GitHub as a team member (initial stage); learned the basics of Agile Development and Requirement Analysis; 
1 - defined functional requirements for the project
5 - took part in team meetings and channel discussions
6 - partially set up my local environment (Github + VSCode)
7 - got familiarized with Iteration 0 requirements by watching videos and reading documentation; worked on SPPP document</t>
  </si>
  <si>
    <t>Used ChatGPT to clearly understand and break down the requirements for my roles, get suggestions for the app title, and give a clear idea of how some of the user stories should look like.</t>
  </si>
  <si>
    <t>1. Filled in 4 sections of the SPPP doc and formatted the whole file.
2. Set up git and pushed my self-introduction
3. Filled in the progerss report</t>
  </si>
  <si>
    <t>Since it's just a start of our work on this project, it was hard to understand the requirements for the iteration 0, and for my roles and responsibilities. It also appeared to be hard for the whole team to take part in the meetings.</t>
  </si>
  <si>
    <t>Plan: to be better prepared for the next iteration and team meetings, so that we could efficiently use our time</t>
  </si>
  <si>
    <t>0 - fully learn and understand the requirements for my role in the team
1 - continue to define requirements
5 - take part in the team meetings and chat discussions</t>
  </si>
  <si>
    <t>5/15 - 5/26</t>
  </si>
  <si>
    <t>0 - learned the study materials, Kanban board specifics, read Docker tutorials
1 - edited some of the functional requirements and added mock-ups to the user stories (SPPP)
2 - created UI design in Figma for Home, Sign In, Sign Up, Story Generation screens and their adaptive layouts
3 - implemented Home, Sign In and Sign Up designs in code
5 - participated in team meetings and chat discussions
6 - set up Docker for my local environment
7 - gathered the requirements for Lab2, Quiz1 and Iteration 1 and sent them to the team;
performed a short marketing research to decide on the UI design style;
made changes in SPPP, STD and SDD documents;
recorded a video presentation.</t>
  </si>
  <si>
    <t>Used Midjourney to generate the image for the Home screen. Used ChatGPT to help me place the image according to the layout in Figma. Both were helpful.</t>
  </si>
  <si>
    <t xml:space="preserve">1. Added appendix with mock-ups to SPPP.
2. Filled in UI design, References, and Glossary sections of the SDD.
3. Filled in References and Glossary sections of the STD.
4. Formatted SDD &amp; STD. 
5. Coded Home, Sign In &amp; Sign Up components, and added small changes to the Navbar. Defined styles in index.css.
6. Recorded a video presentation on Iteration1. </t>
  </si>
  <si>
    <t>Being not familiar with Docker, it took some time to set it up correctly. It was easy to make mistakes in pulling and pushing changes.</t>
  </si>
  <si>
    <t>Learn by doing, especially in terms of git commands, read tutorials, and ask Google/AI every time anything goes wrong to correctly revert unwanted changes.</t>
  </si>
  <si>
    <t>0 - learn materials and read tutorials
2 - create more designs in Figma
3 - implement designs in code 
5 - take part in the team meetings and chat discussions
7 - gather and share the requirements for the next submissions</t>
  </si>
  <si>
    <t>5/27 - 6/9</t>
  </si>
  <si>
    <t>0 - learned the study materials, watched lectures, studied testing nuances for Lab 3
1 - made sure the user stories are being addressed
2 - created UI designs for Story generation and rendering, including a set of characters
3 - implemented Story Generation, Rendering, Character Carousel, and made the app responsive
4 - within Lab 3, wrote a test code for a StoryRenderingView page
5 - participated in team meetings and chat discussions
6 - set up Jest for my local environment
7 - gathered the requirements for further individual and team submissions and sent them to the team; updated AI Usage Log in SDD</t>
  </si>
  <si>
    <t>Used ChatGPT to create a basic structure of some components. It was also extremely helpful in creating images for the character carousel (47 in total), which ensured a unified style.</t>
  </si>
  <si>
    <t>1. Replied to the comments in SPPP.
2. Updated the AI Usage Log in SDD.
3. Designed and coded with frontend of GenerateStory, StoryRenderingView, CharacterCarousel, updated with code of the rest of the components and pages to achieve unified design and responsiveness.
4. Created branded slides for iteration 2 presentation, ready to fill in.</t>
  </si>
  <si>
    <t>It took some time to set up a testing environment without a similar experience. Also, some issues or errors always come up, and it takes time to understand the problem and resolve it.</t>
  </si>
  <si>
    <t>Learn more to stay on the same page as the project progresses.</t>
  </si>
  <si>
    <t>0 - keep learning about the technologies used in our project
1 - ensure all the requirements are addressed and met before final submission
2 - design Parent Controls and Story Saving interfaces; make the Figma file submission-ready
3 - code the frontend part of the above features; go through all the pages and components and make sure all the UI is consistent, responsive, and production-ready
5 - take part in the team meetings and chat discussions
7 - prepare and deliver the final iteration</t>
  </si>
  <si>
    <t>6/10 - 6/16</t>
  </si>
  <si>
    <t>0 - learned the study materials, watched lectures
1 - went through all the requirements and prepared the Requirement analysis part of the final presentation
2 - made the app's UI design unified
3 - wrote the frontend code for Settings and Footer, re-done About and Contact pages, fixed responsiveness and style inconsistencies across other pages
5 - participated in team meetings and chat discussions
7 - prepared my part of the slides in the final presentation, made a video, filled in Meeting Minutes</t>
  </si>
  <si>
    <t>Used ChatGPT to guide me through Github issues I encountered. As a result, everything was resolved, but it took some time to get to the solution.</t>
  </si>
  <si>
    <t>1. Designed and coded the frontend of Settings and Footer, re-done the About and Contact pages, and fixed responsiveness and style inconsistencies across other pages.
2. Prepared and delivered the final presentation parts for the Requirement Analysis and UI Design.</t>
  </si>
  <si>
    <t>I had issues with fetch/pull requests and rebasing, but resolved them eventually.</t>
  </si>
  <si>
    <t>Resolved</t>
  </si>
  <si>
    <r>
      <rPr>
        <rFont val="Arial"/>
        <b/>
      </rPr>
      <t>Your Lead Roles</t>
    </r>
    <r>
      <rPr>
        <rFont val="Arial"/>
      </rPr>
      <t>: Design &amp; Implementation Lead, Security Lead</t>
    </r>
  </si>
  <si>
    <t>05/7-05/14</t>
  </si>
  <si>
    <t xml:space="preserve">0 - Researching AI-generated applications and staying current with emerging technologies relevant to our project scope.
1 - Thoroughly reviewed all documents in Google Drive, analyzed requirements, and wrote proposal overviews that captured essential project needs and constraints.
3 - Planned the technical implementation approach for Iteration 1, establishing coding standards and architectural frameworks to guide development efforts.
5 - Make project plan, coordinate with team members to align on requirements and design decisions, ensuring clarity on project direction and expectations.
6 - Evaluated necessary development environments and toolchains required for efficient project implementation.
7 - Preparation for upcoming development phases. Brainstorm comprehensive designs for Iteration 1, including frontend and backend class diagrams and the implementation of appropriate software design patterns.
</t>
  </si>
  <si>
    <t>Used AI for technical implementation planning and sample development environment evaluation for reference.</t>
  </si>
  <si>
    <t>1. Filled in 6 sections of the SPPP.
2. Set up git (push intro,  merge main branch, create develop branch)
3. Filled in the progerss report</t>
  </si>
  <si>
    <t>1. Schedule Conflicts
2. Task assignments is not clear.
3. Project Execution Barriers</t>
  </si>
  <si>
    <t>1. Create a shared team calendar showing all availability constraints
2. Send task assignments to all members
3. Create Pre-Meeting Agenda / Weekly Task Tracking</t>
  </si>
  <si>
    <t>1. Implement the prototype frontend/backend
2. Establish backend API calls
3. Create a comprehensive database schema diagram
4. Initializing the development environment for the application setup.</t>
  </si>
  <si>
    <t>05/15-5/26</t>
  </si>
  <si>
    <t xml:space="preserve">2 - Developed system design documentation including class diagrams, application architecture diagrams, database relationship diagrams, and MongoDB schema specifications to establish the technical foundation
3 - I implemented the database foundation by designing a MongoDB schema and developing a Node.js/Express backend server with core authentication APIs for user registration, login, and logout functionality
4 - Implemented Jest testing framework with test cases for registration, login, logout endpoints and MongoDB integration
6 - Established the application architecture, setting up Netlify for frontend hosting, Heroku for backend deployment, and implementing GitHub's Kanban board for project management.
</t>
  </si>
  <si>
    <t>Used AI assistance to create API endpoint suggestions from the database schema and strategically selected the endpoints that align with the application's core functionality.</t>
  </si>
  <si>
    <t>1. Filled in 6 sections of SDD: Introduction, Software Architecture, Class Diagram, Database Design, insert images/ diagrams
2. Filled in 4 sections of STD Testing Summary, Manual Tests Reports, Automated Testing Reports, Testing Metrics
3. Completed backend authentication implementation with Node.js/Express and MongoDB setup, 
4. Build Jest testing framework for API validation and performed manual frontend testing 
5. Developed authentication system 
6. Design Architecture Diagrams, Database Schema and Class Diagram</t>
  </si>
  <si>
    <t>The project demands extensive technical work across both frontend and backend development, while team members have varying levels of coding experience, creating a skills gap that requires strategic resource allocation and mentoring</t>
  </si>
  <si>
    <t>Encourage team members to develop their technical skills through hands-on learning while assigning manageable, incremental coding tasks that build confidence and competency progressively</t>
  </si>
  <si>
    <t>1. Create character selection system with diverse options
2. Implement theme and setting selection functionality
3. Develop story template database structure 
4. Set up integration with LP/GPT API for story generation
5. Develop error handling for generation failures
6. Test story quality and appropriateness across different inputs
7. Optimize generation speed and performance</t>
  </si>
  <si>
    <t>2 - Media Storage Architecture designed and implemented scalable media storage infrastructure with logical folder organization and security measures.
3 - Backend OpenAI Service Integration implemented OpenAI API integration for story, image, and audio generation, Firebase Storage Implementation implemented Firestore database integration for secure media file storage and retrieval. API Development &amp; Frontend Integration created RESTful API endpoints for the story generation workflow and connected the React frontend to all backend services. 
4 -  Unit and integration tests for the story generation functionality. The testing suite includes mock data fixtures and covers all API endpoints with proper error handling validation and API Endpoint Validation
6 - Docker Test Environment Setup, Firebase Integration &amp; Configuration</t>
  </si>
  <si>
    <t xml:space="preserve">Used AI assistance to  Create a React component for displaying a list of user stories 
with search, filter, and sort functionality. </t>
  </si>
  <si>
    <t>1.Implement loading animations during story creation
2.Testing validateStoryParameters - TDD/BDD
3.Implement text highlighting synchronization with audio
4.Create audio playback controls (play, pause)
5.Develop word-by-word/sentence-by-sentence highlighting logic
6.Implement text-to-speech conversion for generated stories
7.Design read-along UI with clear typography for early readers
8.Develop story template database structure
9. Add github action for CI/CD - test and deploy ( Netlify- Frontend, Heroku -Backend)
10.Implement a backend system with Firestore for media storage and OpenAI services for content generation
11. Fix bugs and update code structure</t>
  </si>
  <si>
    <t>Text highlighting synchronization issue occurs the audio timing and text positioning are not properly aligned</t>
  </si>
  <si>
    <t>Recalculate word timings based on audio duration and word count</t>
  </si>
  <si>
    <t>1. Creatte Story Library: Display all user-generated stories with pagination and grid/list view options
2. Impelement Filtering System: Filter by character types, settings and themes
3. Impelement Story Interaction Features (Add stories to favorites with heart icon / Save stories)
4. Compelte Dashboard page (Setting &amp; Personalization)
5. Quality Assurance - Frontend/Backend Testing
6. Bug Fixes &amp; Mobile Optimization</t>
  </si>
  <si>
    <t>3 - Create settings API endpoints for TTS voice selection, Implement image model configuration storage, Add story content blocking settings, Set up available theme management endpoints, Configure, Firebase Storage server setup, Implement image upload/storage functionality, Add audio file storage capabilities, Create file retrieval endpoints for stored media, Design and implement story cards UI components, Create layout for displaying all generated stories, Add loading states and error handling for story fetching, Implement responsive design for story grid/list view
4 - Test settings API endpoints, Verify Firebase storage upload/download functionality, Test story cards rendering and data display, Cross-browser testing for frontend components
6- Set up Firebase project and storage buckets, Configure API keys and environment variables, Set up storage permissions and security rules</t>
  </si>
  <si>
    <t>Generate story page layout and component structure, Provided requirements for story cards, asked for React component code and CSS styling, I modified suggested CSS classes to match existing design system and used suggested component structure as foundation, then customized</t>
  </si>
  <si>
    <t>1.Implementing story management and user settings functionality.
2.Settings management system with text-to-speech, image generation, and story generation configuration endpoints. 
3.Developed the core story operations including retrieval, deletion, and favorites management APIs with advanced filtering and pagination capabilities
4. I implemented a story filtering system that allows users to sort by theme, setting, characrter, and a-z, along with single story deletion functionality and favorites library management</t>
  </si>
  <si>
    <t>The text highlighting feature that synchronizes with audio playback requires additional development time. This functionality involves complex timing coordination between the text-to-speech audio stream and the visual text highlighting to ensure precise word-by-word or sentence-by-sentence highlighting as the audio plays.</t>
  </si>
  <si>
    <t>The implementation needs further refinement to achieve smooth, accurate synchronization across different speech rates and text lengths.</t>
  </si>
  <si>
    <r>
      <rPr>
        <rFont val="Arial"/>
        <b/>
      </rPr>
      <t>Your Lead Roles</t>
    </r>
    <r>
      <rPr>
        <rFont val="Arial"/>
      </rPr>
      <t>: QA Lead</t>
    </r>
  </si>
  <si>
    <t>05/07-05/14</t>
  </si>
  <si>
    <t>0 - learn git, jest, and the Agile methodology
1 - watched lecture videos on requirements for Iteration 0
4 - reviewed the Jest testing framework to be prepared for the future
6 - set up git and local environment using GitHub and VS Code
7 - assessed risks and filled out the risk management document</t>
  </si>
  <si>
    <t>No AI usage</t>
  </si>
  <si>
    <t>1. Set up git
2. Fill in the Risk Management sheet
3. Fill in progress report
4. Contributed to SPPP doc</t>
  </si>
  <si>
    <t>1. Can't find time to meet when the whole group is available before assignment due dates</t>
  </si>
  <si>
    <t>1. Plan group meetings several days in advance and possibly on a set schedule</t>
  </si>
  <si>
    <t>1. Write unit test cases using Jest
2. Research frameworks for database testing, integration testing, and end-to-end testing
3. Clean up the codebase if necessary</t>
  </si>
  <si>
    <t>05/15-05/26</t>
  </si>
  <si>
    <t>0 - learn React Testing Library for automating testing of frontend components
3 - started implementing testing for React components
4 - manually tested frontend components
6 - set up local environment to facilitate running automatic tests on the frontend
7 - reassessed risks and updated the risk management sheet</t>
  </si>
  <si>
    <t>1. Update the Risk Management sheet
2. Fill in progress report
3. Contribute to SPPP doc
4. Set up frontend codebase for automatic testing using React Testing Library &amp; Jest</t>
  </si>
  <si>
    <t>1. Not familar with React Testing Library, so I'm having trouble running the tests that I wrote due to errors with my configuration of various packages</t>
  </si>
  <si>
    <t>1. Solve the errors, then write and run tests for all frontend components</t>
  </si>
  <si>
    <t>4. Write tests for all frontend components
6. Correctly configure React Testing Library and Jest with Vite</t>
  </si>
  <si>
    <t>05/27-06/09</t>
  </si>
  <si>
    <t>0 - continued researching how to test front end components using vite, jest, and the React Testing Library
1 - reviewed requirements for the STD document and the powerpoint presentation
2 - created an initial design for the Contact page
3 - implemented the design for the Contact page
4 - used vite, jest, and the React Testing Library to test the entirety of the front end through unit tests and integration tests
6 - configured the testing environment for the front end portion of the app
7 - prepared powerpoint slides for the presentation</t>
  </si>
  <si>
    <t>Used AI for general testing suggestions on front end components</t>
  </si>
  <si>
    <t>1. Configured the front end testing environment
2. Wrote tests for each front end page
3. Filled in the STD document
4. Created the Iteration 2 presentation and talked about testing</t>
  </si>
  <si>
    <t>1. I'm having trouble using Docker to build the app</t>
  </si>
  <si>
    <t>1. Watch YouTube tutorials and if I'm still confused, then I will ask my team for help</t>
  </si>
  <si>
    <t>0. Research libraries for end-to-end testing
4. Implement end-to-end testing of the app</t>
  </si>
  <si>
    <t>06/10-06/16</t>
  </si>
  <si>
    <t>1 - updated STD document
4 - fixed tests that no longer functioned due to changes in the codebase, tested new components
7 - prepared powerpoint slides for the final presentation</t>
  </si>
  <si>
    <t>1. Wrote and rewrote tests for front end components
2. Updated STD document
3. Created and presented slides about testing in final presentation</t>
  </si>
  <si>
    <r>
      <rPr>
        <rFont val="Arial"/>
        <b/>
      </rPr>
      <t>Your Lead Roles</t>
    </r>
    <r>
      <rPr>
        <rFont val="Arial"/>
      </rPr>
      <t>: Configuration Lead</t>
    </r>
  </si>
  <si>
    <t xml:space="preserve">0 - learn github actions heroku netlify
2 - Design story customization view
3 - set up github actions heroku and netlify and story customization view
</t>
  </si>
  <si>
    <t>Used chat GPT to research github actions Heroku and netlify</t>
  </si>
  <si>
    <t xml:space="preserve"> github actions yaml and demo presentation</t>
  </si>
  <si>
    <t>not familiar with webdev or netlify/heroku</t>
  </si>
  <si>
    <t>Work with Zach to fix build issues</t>
  </si>
  <si>
    <t>work on other pages 
get heroku netlify deployment working fully</t>
  </si>
  <si>
    <t>05/27-06/9</t>
  </si>
  <si>
    <t>0- Learn react, front end unit testing 
3- work on front end for read along view
4- work on testing for read along view
5- attending team meetings</t>
  </si>
  <si>
    <t>story read along view lab submission</t>
  </si>
  <si>
    <t>had trouble getting tests to run locally</t>
  </si>
  <si>
    <t>debug using AI or ask for help from team</t>
  </si>
  <si>
    <t>Help finish remaining front end and back end stories</t>
  </si>
  <si>
    <t>06/9-06/16</t>
  </si>
  <si>
    <t>0- learn about what improvements 
could be made to CI pipeline, 
learn more about github actions
6- Made improvements to github 
actions pipeline</t>
  </si>
  <si>
    <t>Used copilot to help iterate quickly on ci.yml , it was very useful</t>
  </si>
  <si>
    <t>improved CI pipeline with analysis tools,
coverage reporting, running on docker</t>
  </si>
  <si>
    <t>struggled getting some CI improvements to work, had to iterate a few times to get coverage reporting to work</t>
  </si>
  <si>
    <t xml:space="preserve">I got all of the tools I wanted working except ESLint </t>
  </si>
  <si>
    <t>Project is over</t>
  </si>
  <si>
    <r>
      <rPr>
        <rFont val="Arial"/>
        <b/>
      </rPr>
      <t>Your Lead Roles</t>
    </r>
    <r>
      <rPr>
        <rFont val="Arial"/>
      </rPr>
      <t>: Security Lead</t>
    </r>
  </si>
  <si>
    <t>0 – reviewed Lab 2 instructions, studied Docker setup process, and learned how to write functional user stories and acceptance tests;
1 – created and documented 2 functional user stories on GitHub Project Kanban board, including acceptance criteria and task breakdowns;
2 – participated in team planning and discussions on Discord and GitHub;
3 – assisted with GitHub Kanban board updates and user story organization;
4 – troubleshooted Docker Desktop and WSL installation issues;
5 – completed Docker environment configuration and verified WSL installation with PowerShell;
6 – created StoryRenderingView.tsx React component and added it to the project repository under src/components;
7 – committed and pushed the new component to the GitHub repository using GitHub Desktop;
8 – prepared and assembled all required Lab 2 submission materials, including screenshots, UML diagram, and final Word report.</t>
  </si>
  <si>
    <t xml:space="preserve">Used ChatGPT to clarify lab instructions, generate user stories, and debug Docker configuration errors.
Used GitHub Copilot in VS Code to assist in writing the React component code.
Both tools were helpful in speeding up development and reducing uncertainty.
</t>
  </si>
  <si>
    <t xml:space="preserve">1. Created 2 new functional user stories on GitHub;
2. Added StoryRenderingView.tsx under src/components and committed it;
3. Assembled all required Lab 2 submission materials.
</t>
  </si>
  <si>
    <t xml:space="preserve">1. Encountered Docker setup and pull image errors;
2. Unfamiliar with GitHub Desktop workflows;
3. Project folder sync path was unclear.
</t>
  </si>
  <si>
    <t xml:space="preserve">1. Resolved Docker connectivity issues using a registry mirror;
2. Verified correct GitHub repo path with teammate;
3. Completed submission with guidance and screenshots.
</t>
  </si>
  <si>
    <t xml:space="preserve">0 - follow up on Lab 2 feedback and fix any review comments;
3 - polish UI of the component and add real data props;
5 - join team planning for Iteration 2 assignments.
</t>
  </si>
  <si>
    <t xml:space="preserve">0 - studied Jest and React Testing Library, learned how to write and run unit tests for React components
1 - analyzed how to apply TDD to test reusable frontend components, reviewed testability of UI logic
2 - designed a simple stateful React component (CounterButton) for testing integration
3 - implemented CounterButton.tsx with click logic using React hooks
4 - created and ran unit test file CounterButton.test.tsx using Jest and React Testing Library
5 - created a new branch, committed changes, pushed to GitHub, and opened a pull request
6 - configured testing environment using jest.config.js and setupTests.ts
</t>
  </si>
  <si>
    <t xml:space="preserve">0 - used ChatGPT to clarify lab instructions and debug issues
2 - created and submitted two new user stories for GitHub repo
3 - added StoryRenderingView.tsx component to the frontend codebase
6 - verified GitHub repo path and Docker setup with team
</t>
  </si>
  <si>
    <t xml:space="preserve">1. Used ChatGPT to clarify Lab 2 instructions, generate user stories, and debug Docker configuration errors.
2. Used GitHub Copilot in VS Code to assist in writing React component (StoryRenderingView.tsx) and commit to src/components/.
3. Created and submitted 2 new functional user stories on GitHub.
4. Assembled and submitted all Lab 2 required materials (including screenshots and report).
5. Fill out the meeting records
</t>
  </si>
  <si>
    <t xml:space="preserve">1 - unfamiliar with GitHub desktop and repo syncing
6 - resolved Docker pull/setup issues using a registry mirror
</t>
  </si>
  <si>
    <t xml:space="preserve">1. Resolved Docker connectivity issue by configuring registry mirror.
2. Verified correct GitHub repository path and syncing with teammates.
3. Encountered issues with GitHub Desktop and folder sync path, now resolved.
4. Will follow up on Lab 2 feedback and make improvements based on instructor comments.
5. Plan to polish StoryRenderingView UI and integrate real story data.
6. Will participate in team planning for Lab 3 iteration tasks and discuss testing assignments.
</t>
  </si>
  <si>
    <t xml:space="preserve">0 - follow up on Lab 2 feedback
2 - polish StoryRenderingView UI and improve visuals with real data
5 - participate in team planning 3 iteration
</t>
  </si>
  <si>
    <t>0 - reviewed Jest usage and testing methods
3 - implemented 2 frontend components and tests
4 - created 2 Jest test files (Navbar.test.tsx, LoginForm.test.tsx)
6 - updated setupTests.ts, jest.config.js, resolved config errors</t>
  </si>
  <si>
    <t>Used ChatGPT to debug test config, Jest setup, and assist writing test cases</t>
  </si>
  <si>
    <t>1. Created and committed Navbar.tsx and LoginForm.test.tsx
2. Integrated components in frontend UI
3. Ran and verified tests
4. Pushed all files in feature branch on GitHub</t>
  </si>
  <si>
    <t>Some bugs in the app, especially on mobile</t>
  </si>
  <si>
    <t>Communicated with teammates about bugs to fix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</si>
</sst>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9">
    <font>
      <sz val="10.0"/>
      <color rgb="FF000000"/>
      <name val="Arial"/>
    </font>
    <font>
      <b/>
      <color rgb="FFFF0000"/>
      <name val="Arial"/>
    </font>
    <font>
      <b/>
      <name val="Arial"/>
    </font>
    <font>
      <b/>
    </font>
    <font>
      <b/>
      <color rgb="FFFF0000"/>
    </font>
    <font/>
    <font>
      <color rgb="FFFF0000"/>
      <name val="Arial"/>
    </font>
    <font>
      <b/>
      <name val="Calibri"/>
    </font>
    <font>
      <name val="Arial"/>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1" fillId="0" fontId="1" numFmtId="0" xfId="0" applyAlignment="1" applyBorder="1" applyFont="1">
      <alignment readingOrder="0" shrinkToFit="0" vertical="top" wrapText="0"/>
    </xf>
    <xf borderId="1" fillId="0" fontId="6" numFmtId="0" xfId="0" applyAlignment="1" applyBorder="1" applyFont="1">
      <alignment vertical="top"/>
    </xf>
    <xf borderId="0" fillId="0" fontId="6" numFmtId="0" xfId="0" applyAlignment="1" applyFont="1">
      <alignment vertical="bottom"/>
    </xf>
    <xf borderId="1" fillId="0" fontId="2" numFmtId="0" xfId="0" applyAlignment="1" applyBorder="1" applyFont="1">
      <alignment shrinkToFit="0" vertical="top" wrapText="1"/>
    </xf>
    <xf borderId="1" fillId="0" fontId="7" numFmtId="0" xfId="0" applyAlignment="1" applyBorder="1" applyFont="1">
      <alignment vertical="top"/>
    </xf>
    <xf borderId="1" fillId="0" fontId="7" numFmtId="0" xfId="0" applyAlignment="1" applyBorder="1" applyFont="1">
      <alignment vertical="bottom"/>
    </xf>
    <xf borderId="0" fillId="0" fontId="8" numFmtId="0" xfId="0" applyAlignment="1" applyFont="1">
      <alignment vertical="bottom"/>
    </xf>
    <xf borderId="0" fillId="0" fontId="0" numFmtId="0" xfId="0" applyAlignment="1" applyFont="1">
      <alignment readingOrder="0" shrinkToFit="0" wrapText="1"/>
    </xf>
    <xf borderId="0" fillId="2" fontId="1" numFmtId="0" xfId="0" applyAlignment="1" applyFill="1" applyFont="1">
      <alignment readingOrder="0" shrinkToFit="0" vertical="bottom" wrapText="0"/>
    </xf>
    <xf borderId="0" fillId="2" fontId="8" numFmtId="0" xfId="0" applyAlignment="1" applyFont="1">
      <alignment readingOrder="0" shrinkToFit="0" vertical="bottom" wrapText="1"/>
    </xf>
    <xf borderId="0" fillId="0" fontId="8" numFmtId="0" xfId="0" applyAlignment="1" applyFont="1">
      <alignment shrinkToFit="0" vertical="bottom" wrapText="1"/>
    </xf>
    <xf borderId="0" fillId="0" fontId="8" numFmtId="0" xfId="0" applyAlignment="1" applyFont="1">
      <alignment readingOrder="0" shrinkToFit="0" vertical="bottom" wrapText="1"/>
    </xf>
    <xf borderId="2" fillId="0" fontId="2" numFmtId="0" xfId="0" applyAlignment="1" applyBorder="1" applyFont="1">
      <alignment shrinkToFit="0" vertical="bottom" wrapText="1"/>
    </xf>
    <xf borderId="0" fillId="0" fontId="3" numFmtId="0" xfId="0" applyAlignment="1" applyFont="1">
      <alignment shrinkToFit="0" wrapText="1"/>
    </xf>
    <xf borderId="0" fillId="2" fontId="5" numFmtId="0" xfId="0" applyAlignment="1" applyFont="1">
      <alignment readingOrder="0" shrinkToFit="0" wrapText="1"/>
    </xf>
    <xf borderId="0" fillId="2" fontId="5" numFmtId="0" xfId="0" applyAlignment="1" applyFont="1">
      <alignment shrinkToFit="0" wrapText="1"/>
    </xf>
    <xf borderId="0" fillId="2" fontId="5" numFmtId="0" xfId="0" applyFont="1"/>
    <xf borderId="0" fillId="0" fontId="8"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9.38"/>
    <col customWidth="1" min="14" max="14" width="8.13"/>
    <col customWidth="1" min="15" max="15" width="7.38"/>
    <col customWidth="1" min="16" max="16" width="8.5"/>
    <col customWidth="1" min="17" max="17" width="6.75"/>
    <col customWidth="1" min="18" max="18" width="7.13"/>
    <col customWidth="1" min="19" max="19" width="6.88"/>
    <col customWidth="1" min="20" max="20" width="6.75"/>
    <col customWidth="1" min="21" max="22" width="6.88"/>
  </cols>
  <sheetData>
    <row r="1">
      <c r="A1" s="1" t="s">
        <v>0</v>
      </c>
      <c r="B1" s="2"/>
      <c r="C1" s="3"/>
      <c r="D1" s="4"/>
      <c r="E1" s="4"/>
      <c r="F1" s="4"/>
      <c r="G1" s="3"/>
      <c r="H1" s="3"/>
      <c r="I1" s="3"/>
      <c r="J1" s="3"/>
      <c r="K1" s="3"/>
      <c r="L1" s="2"/>
      <c r="M1" s="2"/>
      <c r="N1" s="2"/>
      <c r="O1" s="5"/>
      <c r="P1" s="5"/>
      <c r="Q1" s="5"/>
      <c r="R1" s="5"/>
      <c r="S1" s="5"/>
      <c r="T1" s="5"/>
      <c r="U1" s="5"/>
      <c r="V1" s="5"/>
      <c r="W1" s="6"/>
      <c r="X1" s="6"/>
      <c r="Y1" s="6"/>
      <c r="Z1" s="6"/>
    </row>
    <row r="2" ht="30.0" customHeight="1">
      <c r="A2" s="1" t="s">
        <v>1</v>
      </c>
      <c r="B2" s="2"/>
      <c r="C2" s="3"/>
      <c r="D2" s="4"/>
      <c r="E2" s="4"/>
      <c r="F2" s="4"/>
      <c r="G2" s="3"/>
      <c r="H2" s="3"/>
      <c r="I2" s="3"/>
      <c r="J2" s="3"/>
      <c r="K2" s="3"/>
      <c r="L2" s="2"/>
      <c r="M2" s="2"/>
      <c r="N2" s="2"/>
      <c r="O2" s="5"/>
      <c r="P2" s="5"/>
      <c r="Q2" s="5"/>
      <c r="R2" s="5"/>
      <c r="S2" s="5"/>
      <c r="T2" s="5"/>
      <c r="U2" s="5"/>
      <c r="V2" s="5"/>
      <c r="W2" s="6"/>
      <c r="X2" s="6"/>
      <c r="Y2" s="6"/>
      <c r="Z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2" t="s">
        <v>23</v>
      </c>
      <c r="W3" s="7" t="s">
        <v>24</v>
      </c>
      <c r="X3" s="6"/>
      <c r="Y3" s="6"/>
      <c r="Z3" s="6"/>
    </row>
    <row r="4">
      <c r="A4" s="8">
        <v>0.0</v>
      </c>
      <c r="B4" s="8" t="s">
        <v>25</v>
      </c>
      <c r="C4" s="8" t="s">
        <v>26</v>
      </c>
      <c r="E4" s="8" t="s">
        <v>27</v>
      </c>
      <c r="F4" s="8" t="s">
        <v>28</v>
      </c>
      <c r="G4" s="9" t="s">
        <v>29</v>
      </c>
      <c r="H4" s="9" t="s">
        <v>29</v>
      </c>
      <c r="I4" s="9" t="s">
        <v>29</v>
      </c>
      <c r="J4" s="9" t="s">
        <v>29</v>
      </c>
      <c r="K4" s="9" t="s">
        <v>29</v>
      </c>
      <c r="L4" s="9">
        <v>43.0</v>
      </c>
      <c r="M4" s="9">
        <v>42.0</v>
      </c>
      <c r="N4" s="9">
        <v>1.0</v>
      </c>
      <c r="O4" s="9">
        <v>11.0</v>
      </c>
      <c r="P4" s="9">
        <v>4.5</v>
      </c>
      <c r="Q4" s="9">
        <v>0.0</v>
      </c>
      <c r="R4" s="9">
        <v>2.0</v>
      </c>
      <c r="S4" s="9">
        <v>1.0</v>
      </c>
      <c r="T4" s="9">
        <v>4.5</v>
      </c>
      <c r="U4" s="9">
        <v>4.0</v>
      </c>
      <c r="V4" s="9">
        <v>13.0</v>
      </c>
    </row>
    <row r="5">
      <c r="A5" s="8">
        <v>1.0</v>
      </c>
      <c r="B5" s="8" t="s">
        <v>30</v>
      </c>
      <c r="C5" s="8" t="s">
        <v>31</v>
      </c>
      <c r="D5" s="9" t="s">
        <v>32</v>
      </c>
      <c r="E5" s="8" t="s">
        <v>33</v>
      </c>
      <c r="F5" s="8" t="s">
        <v>34</v>
      </c>
      <c r="G5" s="9">
        <v>13.0</v>
      </c>
      <c r="H5" s="9">
        <v>5.0</v>
      </c>
      <c r="I5" s="9">
        <v>20.0</v>
      </c>
      <c r="J5" s="9">
        <v>13.0</v>
      </c>
      <c r="K5" s="9">
        <v>7.0</v>
      </c>
      <c r="L5" s="9">
        <v>66.0</v>
      </c>
      <c r="M5" s="9">
        <v>60.0</v>
      </c>
      <c r="N5" s="9">
        <v>2.0</v>
      </c>
      <c r="O5" s="9">
        <v>20.5</v>
      </c>
      <c r="P5" s="9">
        <v>4.5</v>
      </c>
      <c r="Q5" s="9">
        <v>13.0</v>
      </c>
      <c r="R5" s="9">
        <v>24.0</v>
      </c>
      <c r="S5" s="9">
        <v>2.5</v>
      </c>
      <c r="T5" s="9">
        <v>5.0</v>
      </c>
      <c r="U5" s="9">
        <v>8.5</v>
      </c>
      <c r="V5" s="9">
        <v>8.0</v>
      </c>
    </row>
    <row r="6">
      <c r="A6" s="8">
        <v>2.0</v>
      </c>
      <c r="B6" s="9" t="s">
        <v>35</v>
      </c>
      <c r="C6" s="8" t="s">
        <v>36</v>
      </c>
      <c r="D6" s="8" t="s">
        <v>37</v>
      </c>
      <c r="E6" s="8" t="s">
        <v>38</v>
      </c>
      <c r="F6" s="8" t="s">
        <v>39</v>
      </c>
      <c r="G6" s="9">
        <v>38.0</v>
      </c>
      <c r="H6" s="9">
        <v>1.0</v>
      </c>
      <c r="I6" s="9">
        <v>41.0</v>
      </c>
      <c r="J6" s="9">
        <v>38.0</v>
      </c>
      <c r="K6" s="9">
        <v>3.0</v>
      </c>
      <c r="L6" s="9">
        <v>133.5</v>
      </c>
      <c r="M6" s="9">
        <v>122.5</v>
      </c>
      <c r="N6" s="9">
        <v>2.0</v>
      </c>
      <c r="O6" s="9">
        <v>17.0</v>
      </c>
      <c r="P6" s="9">
        <v>5.5</v>
      </c>
      <c r="Q6" s="9">
        <v>19.0</v>
      </c>
      <c r="R6" s="9">
        <v>43.0</v>
      </c>
      <c r="S6" s="9">
        <v>20.0</v>
      </c>
      <c r="T6" s="9">
        <v>8.5</v>
      </c>
      <c r="U6" s="9">
        <v>18.0</v>
      </c>
      <c r="V6" s="9">
        <v>2.0</v>
      </c>
    </row>
    <row r="7">
      <c r="A7" s="8">
        <v>3.0</v>
      </c>
      <c r="B7" s="8" t="s">
        <v>40</v>
      </c>
      <c r="C7" s="8" t="s">
        <v>41</v>
      </c>
      <c r="D7" s="8" t="s">
        <v>42</v>
      </c>
      <c r="E7" s="8" t="s">
        <v>43</v>
      </c>
      <c r="F7" s="8" t="s">
        <v>44</v>
      </c>
      <c r="G7" s="9">
        <v>51.0</v>
      </c>
      <c r="H7" s="9">
        <v>1.0</v>
      </c>
      <c r="I7" s="9">
        <v>62.0</v>
      </c>
      <c r="J7" s="9">
        <v>61.0</v>
      </c>
      <c r="K7" s="9">
        <v>1.0</v>
      </c>
      <c r="L7" s="9">
        <v>82.5</v>
      </c>
      <c r="M7" s="9">
        <v>76.5</v>
      </c>
      <c r="N7" s="9">
        <v>1.0</v>
      </c>
      <c r="O7" s="9">
        <v>7.0</v>
      </c>
      <c r="P7" s="9">
        <v>4.0</v>
      </c>
      <c r="Q7" s="9">
        <v>3.0</v>
      </c>
      <c r="R7" s="9">
        <v>25.0</v>
      </c>
      <c r="S7" s="9">
        <v>14.0</v>
      </c>
      <c r="T7" s="9">
        <v>3.5</v>
      </c>
      <c r="U7" s="9">
        <v>7.0</v>
      </c>
      <c r="V7" s="9">
        <v>12.0</v>
      </c>
    </row>
    <row r="8">
      <c r="A8" s="8"/>
      <c r="B8" s="10"/>
      <c r="C8" s="10"/>
    </row>
    <row r="9">
      <c r="A9" s="8"/>
      <c r="B9" s="10"/>
      <c r="C9" s="10"/>
    </row>
    <row r="10">
      <c r="A10" s="10"/>
      <c r="B10" s="10"/>
      <c r="C1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3" max="3" width="29.5"/>
    <col customWidth="1" min="4" max="4" width="19.13"/>
    <col customWidth="1" min="5" max="5" width="22.5"/>
    <col customWidth="1" min="6" max="6" width="11.0"/>
    <col customWidth="1" min="7" max="7" width="25.25"/>
    <col customWidth="1" min="8" max="8" width="36.63"/>
    <col customWidth="1" min="9" max="9" width="22.75"/>
    <col customWidth="1" min="10" max="10" width="30.38"/>
  </cols>
  <sheetData>
    <row r="1" ht="27.0" customHeight="1">
      <c r="A1" s="11" t="s">
        <v>45</v>
      </c>
      <c r="B1" s="12"/>
      <c r="C1" s="12"/>
      <c r="D1" s="12"/>
      <c r="E1" s="12"/>
      <c r="F1" s="12"/>
      <c r="G1" s="12"/>
      <c r="H1" s="12"/>
      <c r="I1" s="12"/>
      <c r="J1" s="12"/>
      <c r="K1" s="13"/>
      <c r="L1" s="13"/>
      <c r="M1" s="13"/>
      <c r="N1" s="13"/>
      <c r="O1" s="13"/>
      <c r="P1" s="13"/>
      <c r="Q1" s="13"/>
      <c r="R1" s="13"/>
      <c r="S1" s="13"/>
      <c r="T1" s="13"/>
      <c r="U1" s="13"/>
      <c r="V1" s="13"/>
      <c r="W1" s="13"/>
      <c r="X1" s="13"/>
      <c r="Y1" s="13"/>
      <c r="Z1" s="13"/>
    </row>
    <row r="2">
      <c r="A2" s="14" t="s">
        <v>46</v>
      </c>
      <c r="B2" s="15" t="s">
        <v>47</v>
      </c>
      <c r="C2" s="15" t="s">
        <v>48</v>
      </c>
      <c r="D2" s="15" t="s">
        <v>49</v>
      </c>
      <c r="E2" s="15" t="s">
        <v>50</v>
      </c>
      <c r="F2" s="15" t="s">
        <v>51</v>
      </c>
      <c r="G2" s="15" t="s">
        <v>52</v>
      </c>
      <c r="H2" s="15" t="s">
        <v>53</v>
      </c>
      <c r="I2" s="15" t="s">
        <v>54</v>
      </c>
      <c r="J2" s="15" t="s">
        <v>55</v>
      </c>
      <c r="K2" s="16" t="s">
        <v>56</v>
      </c>
      <c r="L2" s="17"/>
      <c r="M2" s="17"/>
      <c r="N2" s="17"/>
      <c r="O2" s="17"/>
      <c r="P2" s="17"/>
      <c r="Q2" s="17"/>
      <c r="R2" s="17"/>
      <c r="S2" s="17"/>
      <c r="T2" s="17"/>
      <c r="U2" s="17"/>
      <c r="V2" s="17"/>
      <c r="W2" s="17"/>
      <c r="X2" s="17"/>
      <c r="Y2" s="17"/>
      <c r="Z2" s="17"/>
    </row>
    <row r="3">
      <c r="A3" s="8" t="s">
        <v>57</v>
      </c>
      <c r="B3" s="8" t="s">
        <v>58</v>
      </c>
      <c r="C3" s="8" t="s">
        <v>59</v>
      </c>
      <c r="D3" s="8" t="s">
        <v>60</v>
      </c>
      <c r="E3" s="10"/>
      <c r="F3" s="8" t="s">
        <v>61</v>
      </c>
      <c r="G3" s="8" t="s">
        <v>62</v>
      </c>
      <c r="H3" s="8" t="s">
        <v>63</v>
      </c>
      <c r="I3" s="8" t="s">
        <v>64</v>
      </c>
      <c r="J3" s="8" t="s">
        <v>65</v>
      </c>
      <c r="K3" s="10"/>
      <c r="L3" s="10"/>
      <c r="M3" s="10"/>
      <c r="N3" s="10"/>
      <c r="O3" s="10"/>
      <c r="P3" s="10"/>
      <c r="Q3" s="10"/>
    </row>
    <row r="4">
      <c r="A4" s="10"/>
      <c r="B4" s="10"/>
      <c r="C4" s="10"/>
      <c r="D4" s="10"/>
      <c r="E4" s="10"/>
      <c r="F4" s="10"/>
      <c r="G4" s="10"/>
      <c r="H4" s="10"/>
      <c r="I4" s="10"/>
      <c r="J4" s="10"/>
      <c r="K4" s="10"/>
      <c r="L4" s="10"/>
      <c r="M4" s="10"/>
      <c r="N4" s="10"/>
      <c r="O4" s="10"/>
      <c r="P4" s="10"/>
      <c r="Q4" s="10"/>
    </row>
    <row r="5">
      <c r="A5" s="8" t="s">
        <v>66</v>
      </c>
      <c r="B5" s="8" t="s">
        <v>67</v>
      </c>
      <c r="C5" s="8" t="s">
        <v>68</v>
      </c>
      <c r="D5" s="8" t="s">
        <v>69</v>
      </c>
      <c r="E5" s="8" t="s">
        <v>70</v>
      </c>
      <c r="F5" s="8" t="s">
        <v>71</v>
      </c>
      <c r="G5" s="8" t="s">
        <v>72</v>
      </c>
      <c r="H5" s="8" t="s">
        <v>73</v>
      </c>
      <c r="I5" s="8" t="s">
        <v>74</v>
      </c>
      <c r="J5" s="8" t="s">
        <v>75</v>
      </c>
      <c r="K5" s="10"/>
      <c r="L5" s="10"/>
      <c r="M5" s="10"/>
      <c r="N5" s="10"/>
      <c r="O5" s="10"/>
      <c r="P5" s="10"/>
      <c r="Q5" s="10"/>
    </row>
    <row r="6">
      <c r="A6" s="10"/>
      <c r="B6" s="10"/>
      <c r="C6" s="10"/>
      <c r="D6" s="10"/>
      <c r="E6" s="10"/>
      <c r="F6" s="10"/>
      <c r="G6" s="10"/>
      <c r="H6" s="10"/>
      <c r="I6" s="10"/>
      <c r="J6" s="10"/>
      <c r="K6" s="10"/>
      <c r="L6" s="10"/>
      <c r="M6" s="10"/>
      <c r="N6" s="10"/>
      <c r="O6" s="10"/>
      <c r="P6" s="10"/>
      <c r="Q6" s="10"/>
    </row>
    <row r="7">
      <c r="A7" s="8" t="s">
        <v>76</v>
      </c>
      <c r="B7" s="8" t="s">
        <v>77</v>
      </c>
      <c r="C7" s="8" t="s">
        <v>78</v>
      </c>
      <c r="D7" s="8" t="s">
        <v>79</v>
      </c>
      <c r="E7" s="8" t="s">
        <v>80</v>
      </c>
      <c r="F7" s="8" t="s">
        <v>81</v>
      </c>
      <c r="G7" s="8" t="s">
        <v>82</v>
      </c>
      <c r="H7" s="8" t="s">
        <v>83</v>
      </c>
      <c r="I7" s="8" t="s">
        <v>84</v>
      </c>
      <c r="J7" s="8" t="s">
        <v>85</v>
      </c>
      <c r="K7" s="10"/>
      <c r="L7" s="10"/>
      <c r="M7" s="10"/>
      <c r="N7" s="10"/>
      <c r="O7" s="10"/>
      <c r="P7" s="10"/>
      <c r="Q7" s="10"/>
    </row>
    <row r="8">
      <c r="A8" s="10"/>
      <c r="B8" s="10"/>
      <c r="C8" s="10"/>
      <c r="D8" s="10"/>
      <c r="E8" s="10"/>
      <c r="F8" s="10"/>
      <c r="G8" s="10"/>
      <c r="H8" s="10"/>
      <c r="I8" s="10"/>
      <c r="J8" s="10"/>
      <c r="K8" s="10"/>
      <c r="L8" s="10"/>
      <c r="M8" s="10"/>
      <c r="N8" s="10"/>
      <c r="O8" s="10"/>
      <c r="P8" s="10"/>
      <c r="Q8" s="10"/>
    </row>
    <row r="9">
      <c r="A9" s="8" t="s">
        <v>86</v>
      </c>
      <c r="B9" s="8" t="s">
        <v>87</v>
      </c>
      <c r="C9" s="8" t="s">
        <v>88</v>
      </c>
      <c r="D9" s="10"/>
      <c r="E9" s="18" t="s">
        <v>89</v>
      </c>
      <c r="F9" s="8" t="s">
        <v>90</v>
      </c>
      <c r="G9" s="8" t="s">
        <v>91</v>
      </c>
      <c r="H9" s="8" t="s">
        <v>92</v>
      </c>
      <c r="I9" s="8" t="s">
        <v>93</v>
      </c>
      <c r="J9" s="8" t="s">
        <v>94</v>
      </c>
      <c r="K9" s="10"/>
      <c r="L9" s="10"/>
      <c r="M9" s="10"/>
      <c r="N9" s="10"/>
      <c r="O9" s="10"/>
      <c r="P9" s="10"/>
      <c r="Q9" s="10"/>
    </row>
    <row r="10">
      <c r="A10" s="10"/>
      <c r="B10" s="10"/>
      <c r="C10" s="10"/>
      <c r="D10" s="10"/>
      <c r="E10" s="10"/>
      <c r="F10" s="10"/>
      <c r="G10" s="10"/>
      <c r="H10" s="10"/>
      <c r="I10" s="10"/>
      <c r="J10" s="10"/>
      <c r="K10" s="10"/>
      <c r="L10" s="10"/>
      <c r="M10" s="10"/>
      <c r="N10" s="10"/>
      <c r="O10" s="10"/>
      <c r="P10" s="10"/>
      <c r="Q10" s="10"/>
    </row>
    <row r="11">
      <c r="A11" s="8" t="s">
        <v>95</v>
      </c>
      <c r="B11" s="8" t="s">
        <v>96</v>
      </c>
      <c r="C11" s="10"/>
      <c r="D11" s="8" t="s">
        <v>97</v>
      </c>
      <c r="E11" s="10"/>
      <c r="F11" s="8" t="s">
        <v>98</v>
      </c>
      <c r="G11" s="8" t="s">
        <v>99</v>
      </c>
      <c r="H11" s="8" t="s">
        <v>99</v>
      </c>
      <c r="I11" s="8" t="s">
        <v>100</v>
      </c>
      <c r="J11" s="10"/>
      <c r="K11" s="8" t="s">
        <v>101</v>
      </c>
      <c r="L11" s="10"/>
      <c r="M11" s="10"/>
      <c r="N11" s="10"/>
      <c r="O11" s="10"/>
      <c r="P11" s="10"/>
      <c r="Q11" s="10"/>
    </row>
    <row r="12">
      <c r="A12" s="10"/>
      <c r="B12" s="10"/>
      <c r="C12" s="10"/>
      <c r="D12" s="10"/>
      <c r="E12" s="10"/>
      <c r="F12" s="10"/>
      <c r="G12" s="10"/>
      <c r="H12" s="10"/>
      <c r="I12" s="10"/>
      <c r="J12" s="10"/>
      <c r="K12" s="10"/>
      <c r="L12" s="10"/>
      <c r="M12" s="10"/>
      <c r="N12" s="10"/>
      <c r="O12" s="10"/>
      <c r="P12" s="10"/>
      <c r="Q12" s="10"/>
    </row>
    <row r="13">
      <c r="A13" s="8" t="s">
        <v>102</v>
      </c>
      <c r="B13" s="10"/>
      <c r="C13" s="10"/>
      <c r="D13" s="10"/>
      <c r="E13" s="10"/>
      <c r="F13" s="10"/>
      <c r="G13" s="10"/>
      <c r="H13" s="10"/>
      <c r="I13" s="10"/>
      <c r="J13" s="10"/>
      <c r="K13" s="10"/>
      <c r="L13" s="10"/>
      <c r="M13" s="10"/>
      <c r="N13" s="10"/>
      <c r="O13" s="10"/>
      <c r="P13" s="10"/>
      <c r="Q13" s="10"/>
    </row>
    <row r="14">
      <c r="A14" s="10"/>
      <c r="B14" s="10"/>
      <c r="C14" s="10"/>
      <c r="D14" s="10"/>
      <c r="E14" s="10"/>
      <c r="F14" s="10"/>
      <c r="G14" s="10"/>
      <c r="H14" s="10"/>
      <c r="I14" s="10"/>
      <c r="J14" s="10"/>
      <c r="K14" s="10"/>
      <c r="L14" s="10"/>
      <c r="M14" s="10"/>
      <c r="N14" s="10"/>
      <c r="O14" s="10"/>
      <c r="P14" s="10"/>
      <c r="Q14" s="10"/>
    </row>
    <row r="15">
      <c r="A15" s="10"/>
      <c r="B15" s="10"/>
      <c r="C15" s="10"/>
      <c r="D15" s="10"/>
      <c r="E15" s="10"/>
      <c r="F15" s="10"/>
      <c r="G15" s="10"/>
      <c r="H15" s="10"/>
      <c r="I15" s="10"/>
      <c r="J15" s="10"/>
      <c r="K15" s="10"/>
      <c r="L15" s="10"/>
      <c r="M15" s="10"/>
      <c r="N15" s="10"/>
      <c r="O15" s="10"/>
      <c r="P15" s="10"/>
      <c r="Q15" s="10"/>
    </row>
    <row r="16">
      <c r="A16" s="10"/>
      <c r="B16" s="10"/>
      <c r="C16" s="10"/>
      <c r="D16" s="10"/>
      <c r="E16" s="10"/>
      <c r="F16" s="10"/>
      <c r="G16" s="10"/>
      <c r="H16" s="10"/>
      <c r="I16" s="10"/>
      <c r="J16" s="10"/>
      <c r="K16" s="10"/>
      <c r="L16" s="10"/>
      <c r="M16" s="10"/>
      <c r="N16" s="10"/>
      <c r="O16" s="10"/>
      <c r="P16" s="10"/>
      <c r="Q16" s="10"/>
    </row>
    <row r="17">
      <c r="A17" s="10"/>
      <c r="B17" s="10"/>
      <c r="C17" s="10"/>
      <c r="D17" s="10"/>
      <c r="E17" s="10"/>
      <c r="F17" s="10"/>
      <c r="G17" s="10"/>
      <c r="H17" s="10"/>
      <c r="I17" s="10"/>
      <c r="J17" s="10"/>
      <c r="K17" s="10"/>
      <c r="L17" s="10"/>
      <c r="M17" s="10"/>
      <c r="N17" s="10"/>
      <c r="O17" s="10"/>
      <c r="P17" s="10"/>
      <c r="Q17" s="10"/>
    </row>
    <row r="18">
      <c r="A18" s="10"/>
      <c r="B18" s="10"/>
      <c r="C18" s="10"/>
      <c r="D18" s="10"/>
      <c r="E18" s="10"/>
      <c r="F18" s="10"/>
      <c r="G18" s="10"/>
      <c r="H18" s="10"/>
      <c r="I18" s="10"/>
      <c r="J18" s="10"/>
      <c r="K18" s="10"/>
      <c r="L18" s="10"/>
      <c r="M18" s="10"/>
      <c r="N18" s="10"/>
      <c r="O18" s="10"/>
      <c r="P18" s="10"/>
      <c r="Q18" s="10"/>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19" t="s">
        <v>103</v>
      </c>
      <c r="B1" s="20"/>
      <c r="C1" s="20"/>
      <c r="D1" s="20"/>
      <c r="E1" s="20"/>
      <c r="F1" s="20"/>
      <c r="G1" s="21"/>
      <c r="H1" s="21"/>
      <c r="I1" s="21"/>
      <c r="J1" s="21"/>
      <c r="K1" s="21"/>
      <c r="L1" s="21"/>
      <c r="M1" s="22"/>
      <c r="N1" s="22"/>
      <c r="O1" s="22"/>
      <c r="P1" s="22"/>
      <c r="Q1" s="8"/>
      <c r="R1" s="8"/>
      <c r="S1" s="21"/>
      <c r="T1" s="21"/>
      <c r="U1" s="10"/>
      <c r="V1" s="10"/>
      <c r="W1" s="10"/>
    </row>
    <row r="2" ht="39.75" customHeight="1">
      <c r="A2" s="20" t="s">
        <v>104</v>
      </c>
      <c r="G2" s="21"/>
      <c r="H2" s="21"/>
      <c r="I2" s="21"/>
      <c r="J2" s="21"/>
      <c r="K2" s="21"/>
      <c r="L2" s="21"/>
      <c r="M2" s="22"/>
      <c r="N2" s="22"/>
      <c r="O2" s="22"/>
      <c r="P2" s="22"/>
      <c r="Q2" s="8"/>
      <c r="R2" s="8"/>
      <c r="S2" s="21"/>
      <c r="T2" s="21"/>
      <c r="U2" s="10"/>
      <c r="V2" s="10"/>
      <c r="W2" s="10"/>
    </row>
    <row r="3">
      <c r="A3" s="2" t="s">
        <v>105</v>
      </c>
      <c r="B3" s="2" t="s">
        <v>3</v>
      </c>
      <c r="C3" s="5" t="s">
        <v>106</v>
      </c>
      <c r="D3" s="5" t="s">
        <v>107</v>
      </c>
      <c r="E3" s="2" t="s">
        <v>108</v>
      </c>
      <c r="F3" s="2" t="s">
        <v>109</v>
      </c>
      <c r="G3" s="5" t="s">
        <v>16</v>
      </c>
      <c r="H3" s="5" t="s">
        <v>17</v>
      </c>
      <c r="I3" s="5" t="s">
        <v>18</v>
      </c>
      <c r="J3" s="5" t="s">
        <v>19</v>
      </c>
      <c r="K3" s="5" t="s">
        <v>20</v>
      </c>
      <c r="L3" s="5" t="s">
        <v>21</v>
      </c>
      <c r="M3" s="2" t="s">
        <v>22</v>
      </c>
      <c r="N3" s="2" t="s">
        <v>23</v>
      </c>
      <c r="O3" s="2" t="s">
        <v>110</v>
      </c>
      <c r="P3" s="2" t="s">
        <v>111</v>
      </c>
      <c r="Q3" s="3" t="s">
        <v>112</v>
      </c>
      <c r="R3" s="3" t="s">
        <v>113</v>
      </c>
      <c r="S3" s="5" t="s">
        <v>114</v>
      </c>
      <c r="T3" s="23" t="s">
        <v>115</v>
      </c>
      <c r="U3" s="24"/>
      <c r="V3" s="24"/>
      <c r="W3" s="24"/>
      <c r="X3" s="6"/>
      <c r="Y3" s="6"/>
      <c r="Z3" s="6"/>
      <c r="AA3" s="6"/>
    </row>
    <row r="4">
      <c r="A4" s="25">
        <v>1.0</v>
      </c>
      <c r="B4" s="25" t="s">
        <v>116</v>
      </c>
      <c r="C4" s="25">
        <f>D4+E4</f>
        <v>7</v>
      </c>
      <c r="D4" s="25">
        <f>sum(G4:N4)</f>
        <v>6</v>
      </c>
      <c r="E4" s="25">
        <v>1.0</v>
      </c>
      <c r="F4" s="25" t="s">
        <v>117</v>
      </c>
      <c r="G4" s="25">
        <v>3.0</v>
      </c>
      <c r="H4" s="25">
        <v>1.0</v>
      </c>
      <c r="I4" s="26"/>
      <c r="J4" s="26"/>
      <c r="K4" s="26"/>
      <c r="L4" s="25">
        <v>0.5</v>
      </c>
      <c r="M4" s="25">
        <v>1.0</v>
      </c>
      <c r="N4" s="25">
        <v>0.5</v>
      </c>
      <c r="O4" s="25" t="s">
        <v>118</v>
      </c>
      <c r="P4" s="25" t="s">
        <v>119</v>
      </c>
      <c r="Q4" s="25" t="s">
        <v>120</v>
      </c>
      <c r="R4" s="25" t="s">
        <v>121</v>
      </c>
      <c r="S4" s="25" t="s">
        <v>122</v>
      </c>
      <c r="T4" s="25">
        <v>6.0</v>
      </c>
      <c r="U4" s="10"/>
      <c r="V4" s="10"/>
      <c r="W4" s="26"/>
      <c r="X4" s="27"/>
      <c r="Y4" s="27"/>
      <c r="Z4" s="27"/>
      <c r="AA4" s="27"/>
    </row>
    <row r="5">
      <c r="G5" s="10"/>
      <c r="H5" s="10"/>
      <c r="I5" s="10"/>
      <c r="J5" s="10"/>
      <c r="K5" s="10"/>
      <c r="L5" s="10"/>
      <c r="M5" s="10"/>
      <c r="N5" s="10"/>
      <c r="O5" s="10"/>
      <c r="P5" s="10"/>
      <c r="Q5" s="10"/>
      <c r="R5" s="10"/>
      <c r="S5" s="10"/>
      <c r="T5" s="10"/>
      <c r="U5" s="10"/>
      <c r="V5" s="10"/>
      <c r="W5" s="10"/>
    </row>
    <row r="6">
      <c r="G6" s="10"/>
      <c r="H6" s="10"/>
      <c r="I6" s="10"/>
      <c r="J6" s="10"/>
      <c r="K6" s="10"/>
      <c r="L6" s="10"/>
      <c r="M6" s="10"/>
      <c r="N6" s="10"/>
      <c r="O6" s="10"/>
      <c r="P6" s="10"/>
      <c r="Q6" s="10"/>
      <c r="R6" s="10"/>
      <c r="S6" s="10"/>
      <c r="T6" s="10"/>
      <c r="U6" s="10"/>
      <c r="V6" s="10"/>
      <c r="W6" s="10"/>
    </row>
    <row r="7">
      <c r="G7" s="10"/>
      <c r="H7" s="10"/>
      <c r="I7" s="10"/>
      <c r="J7" s="10"/>
      <c r="K7" s="10"/>
      <c r="L7" s="10"/>
      <c r="M7" s="10"/>
      <c r="N7" s="10"/>
      <c r="O7" s="10"/>
      <c r="P7" s="10"/>
      <c r="Q7" s="10"/>
      <c r="R7" s="10"/>
      <c r="S7" s="10"/>
      <c r="T7" s="10"/>
      <c r="U7" s="10"/>
      <c r="V7" s="10"/>
      <c r="W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row r="1002">
      <c r="G1002" s="10"/>
      <c r="H1002" s="10"/>
      <c r="I1002" s="10"/>
      <c r="J1002" s="10"/>
      <c r="K1002" s="10"/>
      <c r="L1002" s="10"/>
      <c r="M1002" s="10"/>
      <c r="N1002" s="10"/>
      <c r="O1002" s="10"/>
      <c r="P1002" s="10"/>
      <c r="Q1002" s="10"/>
      <c r="R1002" s="10"/>
      <c r="S1002" s="10"/>
      <c r="T1002" s="10"/>
      <c r="U1002" s="10"/>
      <c r="V1002" s="10"/>
      <c r="W1002" s="10"/>
    </row>
  </sheetData>
  <mergeCells count="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10.13"/>
    <col customWidth="1" min="3" max="3" width="7.25"/>
    <col customWidth="1" min="4" max="4" width="9.88"/>
    <col customWidth="1" min="5" max="5" width="8.5"/>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2" t="s">
        <v>123</v>
      </c>
      <c r="G1" s="21"/>
      <c r="H1" s="21"/>
      <c r="I1" s="21"/>
      <c r="J1" s="21"/>
      <c r="K1" s="21"/>
      <c r="L1" s="21"/>
      <c r="M1" s="22"/>
      <c r="N1" s="22"/>
      <c r="O1" s="22"/>
      <c r="P1" s="22"/>
      <c r="Q1" s="8"/>
      <c r="R1" s="8"/>
      <c r="S1" s="21"/>
      <c r="T1" s="21"/>
      <c r="U1" s="10"/>
      <c r="V1" s="10"/>
      <c r="W1" s="10"/>
    </row>
    <row r="2">
      <c r="A2" s="2" t="s">
        <v>105</v>
      </c>
      <c r="B2" s="2" t="s">
        <v>3</v>
      </c>
      <c r="C2" s="5" t="s">
        <v>106</v>
      </c>
      <c r="D2" s="5" t="s">
        <v>107</v>
      </c>
      <c r="E2" s="2" t="s">
        <v>108</v>
      </c>
      <c r="F2" s="2" t="s">
        <v>109</v>
      </c>
      <c r="G2" s="5" t="s">
        <v>16</v>
      </c>
      <c r="H2" s="5" t="s">
        <v>17</v>
      </c>
      <c r="I2" s="5" t="s">
        <v>18</v>
      </c>
      <c r="J2" s="5" t="s">
        <v>19</v>
      </c>
      <c r="K2" s="5" t="s">
        <v>20</v>
      </c>
      <c r="L2" s="5" t="s">
        <v>21</v>
      </c>
      <c r="M2" s="2" t="s">
        <v>22</v>
      </c>
      <c r="N2" s="2" t="s">
        <v>23</v>
      </c>
      <c r="O2" s="2" t="s">
        <v>110</v>
      </c>
      <c r="P2" s="2" t="s">
        <v>111</v>
      </c>
      <c r="Q2" s="3" t="s">
        <v>112</v>
      </c>
      <c r="R2" s="3" t="s">
        <v>113</v>
      </c>
      <c r="S2" s="5" t="s">
        <v>114</v>
      </c>
      <c r="T2" s="23" t="s">
        <v>115</v>
      </c>
      <c r="U2" s="24"/>
      <c r="V2" s="24"/>
      <c r="W2" s="24"/>
      <c r="X2" s="6"/>
      <c r="Y2" s="6"/>
      <c r="Z2" s="6"/>
      <c r="AA2" s="6"/>
    </row>
    <row r="3">
      <c r="A3" s="25">
        <v>1.0</v>
      </c>
      <c r="B3" s="25" t="s">
        <v>116</v>
      </c>
      <c r="C3" s="25">
        <f>D3+E3</f>
        <v>7</v>
      </c>
      <c r="D3" s="25">
        <f>sum(G3:N3)</f>
        <v>6</v>
      </c>
      <c r="E3" s="25">
        <v>1.0</v>
      </c>
      <c r="F3" s="25" t="s">
        <v>117</v>
      </c>
      <c r="G3" s="25">
        <v>3.0</v>
      </c>
      <c r="H3" s="25">
        <v>1.0</v>
      </c>
      <c r="I3" s="26"/>
      <c r="J3" s="26"/>
      <c r="K3" s="26"/>
      <c r="L3" s="25">
        <v>0.5</v>
      </c>
      <c r="M3" s="25">
        <v>1.0</v>
      </c>
      <c r="N3" s="25">
        <v>0.5</v>
      </c>
      <c r="O3" s="25" t="s">
        <v>118</v>
      </c>
      <c r="P3" s="25" t="s">
        <v>119</v>
      </c>
      <c r="Q3" s="25" t="s">
        <v>120</v>
      </c>
      <c r="R3" s="25" t="s">
        <v>121</v>
      </c>
      <c r="S3" s="25" t="s">
        <v>122</v>
      </c>
      <c r="T3" s="25">
        <v>6.0</v>
      </c>
      <c r="U3" s="10"/>
      <c r="V3" s="10"/>
      <c r="W3" s="26"/>
      <c r="X3" s="27"/>
      <c r="Y3" s="27"/>
      <c r="Z3" s="27"/>
      <c r="AA3" s="27"/>
    </row>
    <row r="4">
      <c r="A4" s="9">
        <v>1.0</v>
      </c>
      <c r="B4" s="9" t="s">
        <v>124</v>
      </c>
      <c r="C4" s="9">
        <v>12.0</v>
      </c>
      <c r="D4" s="9">
        <v>11.0</v>
      </c>
      <c r="E4" s="9">
        <v>1.0</v>
      </c>
      <c r="F4" s="8" t="s">
        <v>125</v>
      </c>
      <c r="G4" s="8">
        <v>3.0</v>
      </c>
      <c r="H4" s="10"/>
      <c r="I4" s="10"/>
      <c r="J4" s="10"/>
      <c r="K4" s="10"/>
      <c r="L4" s="8">
        <v>2.0</v>
      </c>
      <c r="M4" s="10"/>
      <c r="N4" s="8">
        <v>2.0</v>
      </c>
      <c r="O4" s="8" t="s">
        <v>126</v>
      </c>
      <c r="P4" s="8" t="s">
        <v>127</v>
      </c>
      <c r="Q4" s="8" t="s">
        <v>128</v>
      </c>
      <c r="R4" s="8" t="s">
        <v>129</v>
      </c>
      <c r="S4" s="8" t="s">
        <v>130</v>
      </c>
      <c r="T4" s="8">
        <v>11.0</v>
      </c>
      <c r="U4" s="10"/>
      <c r="V4" s="10"/>
      <c r="W4" s="10"/>
    </row>
    <row r="5">
      <c r="A5" s="9">
        <v>2.0</v>
      </c>
      <c r="B5" s="9" t="s">
        <v>131</v>
      </c>
      <c r="C5" s="9">
        <v>16.0</v>
      </c>
      <c r="D5" s="9">
        <v>14.0</v>
      </c>
      <c r="E5" s="9">
        <v>2.0</v>
      </c>
      <c r="F5" s="8" t="s">
        <v>132</v>
      </c>
      <c r="G5" s="8">
        <v>8.0</v>
      </c>
      <c r="H5" s="10"/>
      <c r="I5" s="10"/>
      <c r="J5" s="10"/>
      <c r="K5" s="10"/>
      <c r="L5" s="8">
        <v>2.5</v>
      </c>
      <c r="M5" s="8">
        <v>1.5</v>
      </c>
      <c r="N5" s="8">
        <v>4.0</v>
      </c>
      <c r="O5" s="8" t="s">
        <v>133</v>
      </c>
      <c r="P5" s="8" t="s">
        <v>134</v>
      </c>
      <c r="Q5" s="8" t="s">
        <v>135</v>
      </c>
      <c r="R5" s="8" t="s">
        <v>136</v>
      </c>
      <c r="S5" s="8" t="s">
        <v>137</v>
      </c>
      <c r="T5" s="8">
        <v>16.0</v>
      </c>
      <c r="U5" s="10"/>
      <c r="V5" s="10"/>
      <c r="W5" s="10"/>
    </row>
    <row r="6">
      <c r="A6" s="9">
        <v>3.0</v>
      </c>
      <c r="B6" s="9" t="s">
        <v>138</v>
      </c>
      <c r="C6" s="9">
        <v>26.5</v>
      </c>
      <c r="D6" s="9">
        <v>24.5</v>
      </c>
      <c r="E6" s="9">
        <v>2.0</v>
      </c>
      <c r="F6" s="8" t="s">
        <v>139</v>
      </c>
      <c r="G6" s="8">
        <v>4.0</v>
      </c>
      <c r="H6" s="8">
        <v>1.0</v>
      </c>
      <c r="I6" s="8">
        <v>3.0</v>
      </c>
      <c r="J6" s="8">
        <v>6.0</v>
      </c>
      <c r="K6" s="8">
        <v>3.0</v>
      </c>
      <c r="L6" s="8">
        <v>2.5</v>
      </c>
      <c r="M6" s="8">
        <v>7.0</v>
      </c>
      <c r="N6" s="10"/>
      <c r="O6" s="8" t="s">
        <v>140</v>
      </c>
      <c r="P6" s="8" t="s">
        <v>141</v>
      </c>
      <c r="Q6" s="8" t="s">
        <v>142</v>
      </c>
      <c r="R6" s="8" t="s">
        <v>143</v>
      </c>
      <c r="S6" s="8" t="s">
        <v>144</v>
      </c>
      <c r="T6" s="10"/>
      <c r="U6" s="10"/>
      <c r="V6" s="10"/>
      <c r="W6" s="10"/>
    </row>
    <row r="7">
      <c r="A7" s="8">
        <v>4.0</v>
      </c>
      <c r="B7" s="8" t="s">
        <v>40</v>
      </c>
      <c r="C7" s="8">
        <v>10.5</v>
      </c>
      <c r="D7" s="8">
        <v>9.5</v>
      </c>
      <c r="E7" s="8">
        <v>1.0</v>
      </c>
      <c r="F7" s="8" t="s">
        <v>145</v>
      </c>
      <c r="G7" s="10"/>
      <c r="H7" s="10"/>
      <c r="I7" s="10"/>
      <c r="J7" s="10"/>
      <c r="K7" s="8">
        <v>1.0</v>
      </c>
      <c r="L7" s="8">
        <v>1.5</v>
      </c>
      <c r="M7" s="10"/>
      <c r="N7" s="8">
        <v>8.0</v>
      </c>
      <c r="O7" s="8" t="s">
        <v>146</v>
      </c>
      <c r="P7" s="8" t="s">
        <v>147</v>
      </c>
      <c r="Q7" s="8" t="s">
        <v>148</v>
      </c>
      <c r="R7" s="8" t="s">
        <v>149</v>
      </c>
      <c r="S7" s="10"/>
      <c r="T7" s="10"/>
      <c r="U7" s="10"/>
      <c r="V7" s="10"/>
      <c r="W7" s="10"/>
      <c r="X7" s="10"/>
      <c r="Y7" s="10"/>
      <c r="Z7" s="10"/>
      <c r="AA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sheetData>
  <mergeCells count="1">
    <mergeCell ref="A1:F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19" t="s">
        <v>103</v>
      </c>
      <c r="B1" s="20"/>
      <c r="C1" s="20"/>
      <c r="D1" s="20"/>
      <c r="E1" s="20"/>
      <c r="F1" s="20"/>
      <c r="G1" s="21"/>
      <c r="H1" s="21"/>
      <c r="I1" s="21"/>
      <c r="J1" s="21"/>
      <c r="K1" s="21"/>
      <c r="L1" s="21"/>
      <c r="M1" s="22"/>
      <c r="N1" s="22"/>
      <c r="O1" s="22"/>
      <c r="P1" s="22"/>
      <c r="Q1" s="8"/>
      <c r="R1" s="8"/>
      <c r="S1" s="21"/>
      <c r="T1" s="21"/>
      <c r="U1" s="10"/>
      <c r="V1" s="10"/>
      <c r="W1" s="10"/>
    </row>
    <row r="2" ht="39.75" customHeight="1">
      <c r="A2" s="22" t="s">
        <v>150</v>
      </c>
      <c r="G2" s="21"/>
      <c r="H2" s="21"/>
      <c r="I2" s="21"/>
      <c r="J2" s="21"/>
      <c r="K2" s="21"/>
      <c r="L2" s="21"/>
      <c r="M2" s="22"/>
      <c r="N2" s="22"/>
      <c r="O2" s="22"/>
      <c r="P2" s="22"/>
      <c r="Q2" s="8"/>
      <c r="R2" s="8"/>
      <c r="S2" s="21"/>
      <c r="T2" s="21"/>
      <c r="U2" s="10"/>
      <c r="V2" s="10"/>
      <c r="W2" s="10"/>
    </row>
    <row r="3">
      <c r="A3" s="2" t="s">
        <v>105</v>
      </c>
      <c r="B3" s="2" t="s">
        <v>3</v>
      </c>
      <c r="C3" s="5" t="s">
        <v>106</v>
      </c>
      <c r="D3" s="5" t="s">
        <v>107</v>
      </c>
      <c r="E3" s="2" t="s">
        <v>108</v>
      </c>
      <c r="F3" s="2" t="s">
        <v>109</v>
      </c>
      <c r="G3" s="5" t="s">
        <v>16</v>
      </c>
      <c r="H3" s="5" t="s">
        <v>17</v>
      </c>
      <c r="I3" s="5" t="s">
        <v>18</v>
      </c>
      <c r="J3" s="5" t="s">
        <v>19</v>
      </c>
      <c r="K3" s="5" t="s">
        <v>20</v>
      </c>
      <c r="L3" s="5" t="s">
        <v>21</v>
      </c>
      <c r="M3" s="2" t="s">
        <v>22</v>
      </c>
      <c r="N3" s="2" t="s">
        <v>23</v>
      </c>
      <c r="O3" s="2" t="s">
        <v>110</v>
      </c>
      <c r="P3" s="2" t="s">
        <v>111</v>
      </c>
      <c r="Q3" s="3" t="s">
        <v>112</v>
      </c>
      <c r="R3" s="3" t="s">
        <v>113</v>
      </c>
      <c r="S3" s="5" t="s">
        <v>114</v>
      </c>
      <c r="T3" s="23" t="s">
        <v>115</v>
      </c>
      <c r="U3" s="24"/>
      <c r="V3" s="24"/>
      <c r="W3" s="24"/>
      <c r="X3" s="6"/>
      <c r="Y3" s="6"/>
      <c r="Z3" s="6"/>
      <c r="AA3" s="6"/>
    </row>
    <row r="4" hidden="1">
      <c r="A4" s="25">
        <v>1.0</v>
      </c>
      <c r="B4" s="25" t="s">
        <v>116</v>
      </c>
      <c r="C4" s="25">
        <f>D4+E4</f>
        <v>7</v>
      </c>
      <c r="D4" s="25">
        <f>sum(G4:N4)</f>
        <v>6</v>
      </c>
      <c r="E4" s="25">
        <v>1.0</v>
      </c>
      <c r="F4" s="25" t="s">
        <v>117</v>
      </c>
      <c r="G4" s="25">
        <v>3.0</v>
      </c>
      <c r="H4" s="25">
        <v>1.0</v>
      </c>
      <c r="I4" s="26"/>
      <c r="J4" s="26"/>
      <c r="K4" s="26"/>
      <c r="L4" s="25">
        <v>0.5</v>
      </c>
      <c r="M4" s="25">
        <v>1.0</v>
      </c>
      <c r="N4" s="25">
        <v>0.5</v>
      </c>
      <c r="O4" s="25" t="s">
        <v>118</v>
      </c>
      <c r="P4" s="25" t="s">
        <v>119</v>
      </c>
      <c r="Q4" s="25" t="s">
        <v>120</v>
      </c>
      <c r="R4" s="25" t="s">
        <v>121</v>
      </c>
      <c r="S4" s="25" t="s">
        <v>122</v>
      </c>
      <c r="T4" s="25">
        <v>6.0</v>
      </c>
      <c r="U4" s="10"/>
      <c r="V4" s="10"/>
      <c r="W4" s="26"/>
      <c r="X4" s="27"/>
      <c r="Y4" s="27"/>
      <c r="Z4" s="27"/>
      <c r="AA4" s="27"/>
    </row>
    <row r="5">
      <c r="A5" s="9">
        <v>1.0</v>
      </c>
      <c r="B5" s="9" t="s">
        <v>151</v>
      </c>
      <c r="C5" s="9">
        <v>13.0</v>
      </c>
      <c r="D5" s="9">
        <v>12.0</v>
      </c>
      <c r="E5" s="9">
        <v>1.0</v>
      </c>
      <c r="F5" s="8" t="s">
        <v>152</v>
      </c>
      <c r="G5" s="8">
        <v>4.0</v>
      </c>
      <c r="H5" s="8">
        <v>1.5</v>
      </c>
      <c r="I5" s="10"/>
      <c r="J5" s="10"/>
      <c r="K5" s="10"/>
      <c r="L5" s="8">
        <v>1.5</v>
      </c>
      <c r="M5" s="8">
        <v>1.0</v>
      </c>
      <c r="N5" s="8">
        <v>4.0</v>
      </c>
      <c r="O5" s="8" t="s">
        <v>153</v>
      </c>
      <c r="P5" s="8" t="s">
        <v>154</v>
      </c>
      <c r="Q5" s="8" t="s">
        <v>155</v>
      </c>
      <c r="R5" s="8" t="s">
        <v>156</v>
      </c>
      <c r="S5" s="8" t="s">
        <v>157</v>
      </c>
      <c r="T5" s="8">
        <v>15.0</v>
      </c>
      <c r="U5" s="10"/>
      <c r="V5" s="10"/>
      <c r="W5" s="10"/>
    </row>
    <row r="6">
      <c r="A6" s="9">
        <v>2.0</v>
      </c>
      <c r="B6" s="9" t="s">
        <v>158</v>
      </c>
      <c r="C6" s="9">
        <v>19.0</v>
      </c>
      <c r="D6" s="9">
        <v>18.0</v>
      </c>
      <c r="E6" s="9">
        <v>1.0</v>
      </c>
      <c r="F6" s="8" t="s">
        <v>159</v>
      </c>
      <c r="G6" s="8">
        <v>4.0</v>
      </c>
      <c r="H6" s="8">
        <v>1.5</v>
      </c>
      <c r="I6" s="8">
        <v>5.0</v>
      </c>
      <c r="J6" s="8">
        <v>4.0</v>
      </c>
      <c r="K6" s="10"/>
      <c r="L6" s="8">
        <v>1.5</v>
      </c>
      <c r="M6" s="8">
        <v>1.0</v>
      </c>
      <c r="N6" s="8">
        <v>2.0</v>
      </c>
      <c r="O6" s="8" t="s">
        <v>160</v>
      </c>
      <c r="P6" s="8" t="s">
        <v>161</v>
      </c>
      <c r="Q6" s="8" t="s">
        <v>162</v>
      </c>
      <c r="R6" s="8" t="s">
        <v>163</v>
      </c>
      <c r="S6" s="8" t="s">
        <v>164</v>
      </c>
      <c r="T6" s="8">
        <v>15.0</v>
      </c>
      <c r="U6" s="10"/>
      <c r="V6" s="10"/>
      <c r="W6" s="10"/>
    </row>
    <row r="7">
      <c r="A7" s="9">
        <v>3.0</v>
      </c>
      <c r="B7" s="9" t="s">
        <v>165</v>
      </c>
      <c r="C7" s="9">
        <v>24.0</v>
      </c>
      <c r="D7" s="9">
        <v>23.0</v>
      </c>
      <c r="E7" s="9">
        <v>1.0</v>
      </c>
      <c r="F7" s="8" t="s">
        <v>166</v>
      </c>
      <c r="G7" s="8">
        <v>4.0</v>
      </c>
      <c r="H7" s="8">
        <v>0.5</v>
      </c>
      <c r="I7" s="8">
        <v>8.0</v>
      </c>
      <c r="J7" s="8">
        <v>6.0</v>
      </c>
      <c r="K7" s="8">
        <v>2.0</v>
      </c>
      <c r="L7" s="8">
        <v>1.5</v>
      </c>
      <c r="M7" s="8">
        <v>1.0</v>
      </c>
      <c r="N7" s="8">
        <v>1.0</v>
      </c>
      <c r="O7" s="8" t="s">
        <v>167</v>
      </c>
      <c r="P7" s="8" t="s">
        <v>168</v>
      </c>
      <c r="Q7" s="8" t="s">
        <v>169</v>
      </c>
      <c r="R7" s="8" t="s">
        <v>170</v>
      </c>
      <c r="S7" s="8" t="s">
        <v>171</v>
      </c>
      <c r="T7" s="8">
        <v>15.0</v>
      </c>
      <c r="U7" s="10"/>
      <c r="V7" s="10"/>
      <c r="W7" s="10"/>
    </row>
    <row r="8">
      <c r="A8" s="9">
        <v>4.0</v>
      </c>
      <c r="B8" s="9" t="s">
        <v>172</v>
      </c>
      <c r="C8" s="9">
        <v>21.0</v>
      </c>
      <c r="D8" s="9">
        <v>20.0</v>
      </c>
      <c r="E8" s="9">
        <v>1.0</v>
      </c>
      <c r="F8" s="28" t="s">
        <v>173</v>
      </c>
      <c r="G8" s="8">
        <v>3.0</v>
      </c>
      <c r="H8" s="8">
        <v>3.0</v>
      </c>
      <c r="I8" s="8">
        <v>3.0</v>
      </c>
      <c r="J8" s="8">
        <v>8.0</v>
      </c>
      <c r="K8" s="8"/>
      <c r="L8" s="8">
        <v>1.0</v>
      </c>
      <c r="M8" s="10"/>
      <c r="N8" s="8">
        <v>3.0</v>
      </c>
      <c r="O8" s="8" t="s">
        <v>174</v>
      </c>
      <c r="P8" s="8" t="s">
        <v>175</v>
      </c>
      <c r="Q8" s="8" t="s">
        <v>176</v>
      </c>
      <c r="R8" s="8" t="s">
        <v>177</v>
      </c>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row r="1002">
      <c r="G1002" s="10"/>
      <c r="H1002" s="10"/>
      <c r="I1002" s="10"/>
      <c r="J1002" s="10"/>
      <c r="K1002" s="10"/>
      <c r="L1002" s="10"/>
      <c r="M1002" s="10"/>
      <c r="N1002" s="10"/>
      <c r="O1002" s="10"/>
      <c r="P1002" s="10"/>
      <c r="Q1002" s="10"/>
      <c r="R1002" s="10"/>
      <c r="S1002" s="10"/>
      <c r="T1002" s="10"/>
      <c r="U1002" s="10"/>
      <c r="V1002" s="10"/>
      <c r="W1002" s="10"/>
    </row>
  </sheetData>
  <mergeCells count="1">
    <mergeCell ref="A2:F2"/>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2" t="s">
        <v>178</v>
      </c>
      <c r="G1" s="21"/>
      <c r="H1" s="21"/>
      <c r="I1" s="21"/>
      <c r="J1" s="21"/>
      <c r="K1" s="21"/>
      <c r="L1" s="21"/>
      <c r="M1" s="22"/>
      <c r="N1" s="22"/>
      <c r="O1" s="22"/>
      <c r="P1" s="22"/>
      <c r="Q1" s="8"/>
      <c r="R1" s="8"/>
      <c r="S1" s="21"/>
      <c r="T1" s="21"/>
      <c r="U1" s="10"/>
      <c r="V1" s="10"/>
      <c r="W1" s="10"/>
    </row>
    <row r="2">
      <c r="A2" s="2" t="s">
        <v>105</v>
      </c>
      <c r="B2" s="2" t="s">
        <v>3</v>
      </c>
      <c r="C2" s="5" t="s">
        <v>106</v>
      </c>
      <c r="D2" s="5" t="s">
        <v>107</v>
      </c>
      <c r="E2" s="2" t="s">
        <v>108</v>
      </c>
      <c r="F2" s="2" t="s">
        <v>109</v>
      </c>
      <c r="G2" s="5" t="s">
        <v>16</v>
      </c>
      <c r="H2" s="5" t="s">
        <v>17</v>
      </c>
      <c r="I2" s="5" t="s">
        <v>18</v>
      </c>
      <c r="J2" s="5" t="s">
        <v>19</v>
      </c>
      <c r="K2" s="5" t="s">
        <v>20</v>
      </c>
      <c r="L2" s="5" t="s">
        <v>21</v>
      </c>
      <c r="M2" s="2" t="s">
        <v>22</v>
      </c>
      <c r="N2" s="2" t="s">
        <v>23</v>
      </c>
      <c r="O2" s="2" t="s">
        <v>110</v>
      </c>
      <c r="P2" s="2" t="s">
        <v>111</v>
      </c>
      <c r="Q2" s="3" t="s">
        <v>112</v>
      </c>
      <c r="R2" s="3" t="s">
        <v>113</v>
      </c>
      <c r="S2" s="5" t="s">
        <v>114</v>
      </c>
      <c r="T2" s="23" t="s">
        <v>115</v>
      </c>
      <c r="U2" s="24"/>
      <c r="V2" s="24"/>
      <c r="W2" s="24"/>
      <c r="X2" s="6"/>
      <c r="Y2" s="6"/>
      <c r="Z2" s="6"/>
      <c r="AA2" s="6"/>
    </row>
    <row r="3">
      <c r="A3" s="25">
        <v>1.0</v>
      </c>
      <c r="B3" s="25" t="s">
        <v>116</v>
      </c>
      <c r="C3" s="25">
        <f>D3+E3</f>
        <v>7</v>
      </c>
      <c r="D3" s="25">
        <f>sum(G3:N3)</f>
        <v>6</v>
      </c>
      <c r="E3" s="25">
        <v>1.0</v>
      </c>
      <c r="F3" s="25" t="s">
        <v>117</v>
      </c>
      <c r="G3" s="25">
        <v>3.0</v>
      </c>
      <c r="H3" s="25">
        <v>1.0</v>
      </c>
      <c r="I3" s="26"/>
      <c r="J3" s="26"/>
      <c r="K3" s="26"/>
      <c r="L3" s="25">
        <v>0.5</v>
      </c>
      <c r="M3" s="25">
        <v>1.0</v>
      </c>
      <c r="N3" s="25">
        <v>0.5</v>
      </c>
      <c r="O3" s="25" t="s">
        <v>118</v>
      </c>
      <c r="P3" s="25" t="s">
        <v>119</v>
      </c>
      <c r="Q3" s="25" t="s">
        <v>120</v>
      </c>
      <c r="R3" s="25"/>
      <c r="S3" s="25" t="s">
        <v>122</v>
      </c>
      <c r="T3" s="25">
        <v>6.0</v>
      </c>
      <c r="U3" s="10"/>
      <c r="V3" s="10"/>
      <c r="W3" s="26"/>
      <c r="X3" s="27"/>
      <c r="Y3" s="27"/>
      <c r="Z3" s="27"/>
      <c r="AA3" s="27"/>
    </row>
    <row r="4">
      <c r="A4" s="9">
        <v>1.0</v>
      </c>
      <c r="B4" s="9" t="s">
        <v>179</v>
      </c>
      <c r="C4" s="9">
        <v>12.0</v>
      </c>
      <c r="D4" s="9">
        <v>11.0</v>
      </c>
      <c r="E4" s="9">
        <v>1.0</v>
      </c>
      <c r="F4" s="8" t="s">
        <v>180</v>
      </c>
      <c r="G4" s="8">
        <v>2.0</v>
      </c>
      <c r="H4" s="8">
        <v>2.0</v>
      </c>
      <c r="I4" s="10"/>
      <c r="J4" s="8">
        <v>2.0</v>
      </c>
      <c r="K4" s="8"/>
      <c r="L4" s="8">
        <v>1.0</v>
      </c>
      <c r="M4" s="8">
        <v>2.0</v>
      </c>
      <c r="N4" s="8">
        <v>2.0</v>
      </c>
      <c r="O4" s="8" t="s">
        <v>181</v>
      </c>
      <c r="P4" s="8" t="s">
        <v>182</v>
      </c>
      <c r="Q4" s="8" t="s">
        <v>183</v>
      </c>
      <c r="R4" s="8" t="s">
        <v>184</v>
      </c>
      <c r="S4" s="8" t="s">
        <v>185</v>
      </c>
      <c r="T4" s="8">
        <v>11.0</v>
      </c>
      <c r="U4" s="10"/>
      <c r="V4" s="10"/>
      <c r="W4" s="10"/>
    </row>
    <row r="5">
      <c r="A5" s="9">
        <v>2.0</v>
      </c>
      <c r="B5" s="9" t="s">
        <v>186</v>
      </c>
      <c r="C5" s="9">
        <v>24.0</v>
      </c>
      <c r="D5" s="9">
        <v>23.0</v>
      </c>
      <c r="E5" s="9">
        <v>1.0</v>
      </c>
      <c r="F5" s="8" t="s">
        <v>187</v>
      </c>
      <c r="G5" s="8"/>
      <c r="H5" s="8"/>
      <c r="I5" s="8">
        <v>4.0</v>
      </c>
      <c r="J5" s="8">
        <v>12.0</v>
      </c>
      <c r="K5" s="8">
        <v>4.0</v>
      </c>
      <c r="L5" s="8"/>
      <c r="M5" s="8">
        <v>3.0</v>
      </c>
      <c r="N5" s="10"/>
      <c r="O5" s="8" t="s">
        <v>188</v>
      </c>
      <c r="P5" s="8" t="s">
        <v>189</v>
      </c>
      <c r="Q5" s="8" t="s">
        <v>190</v>
      </c>
      <c r="R5" s="8" t="s">
        <v>191</v>
      </c>
      <c r="S5" s="8" t="s">
        <v>192</v>
      </c>
      <c r="T5" s="8">
        <v>20.0</v>
      </c>
      <c r="U5" s="10"/>
      <c r="V5" s="10"/>
      <c r="W5" s="10"/>
    </row>
    <row r="6">
      <c r="A6" s="9">
        <v>3.0</v>
      </c>
      <c r="B6" s="9" t="s">
        <v>165</v>
      </c>
      <c r="C6" s="9">
        <v>30.0</v>
      </c>
      <c r="D6" s="9">
        <v>29.0</v>
      </c>
      <c r="E6" s="9">
        <v>1.0</v>
      </c>
      <c r="F6" s="8" t="s">
        <v>193</v>
      </c>
      <c r="G6" s="10"/>
      <c r="H6" s="8">
        <v>2.0</v>
      </c>
      <c r="I6" s="8"/>
      <c r="J6" s="8">
        <v>20.0</v>
      </c>
      <c r="K6" s="8">
        <v>5.0</v>
      </c>
      <c r="L6" s="10"/>
      <c r="M6" s="8">
        <v>2.0</v>
      </c>
      <c r="N6" s="10"/>
      <c r="O6" s="8" t="s">
        <v>194</v>
      </c>
      <c r="P6" s="8" t="s">
        <v>195</v>
      </c>
      <c r="Q6" s="8" t="s">
        <v>196</v>
      </c>
      <c r="R6" s="8" t="s">
        <v>197</v>
      </c>
      <c r="S6" s="8" t="s">
        <v>198</v>
      </c>
      <c r="T6" s="8">
        <v>20.0</v>
      </c>
      <c r="U6" s="10"/>
      <c r="V6" s="10"/>
      <c r="W6" s="10"/>
    </row>
    <row r="7">
      <c r="A7" s="9">
        <v>4.0</v>
      </c>
      <c r="B7" s="9" t="s">
        <v>172</v>
      </c>
      <c r="C7" s="9">
        <v>21.0</v>
      </c>
      <c r="D7" s="9">
        <v>20.0</v>
      </c>
      <c r="E7" s="9">
        <v>1.0</v>
      </c>
      <c r="F7" s="8" t="s">
        <v>199</v>
      </c>
      <c r="G7" s="10"/>
      <c r="H7" s="10"/>
      <c r="I7" s="10"/>
      <c r="J7" s="8">
        <v>15.0</v>
      </c>
      <c r="K7" s="8">
        <v>3.0</v>
      </c>
      <c r="L7" s="10"/>
      <c r="M7" s="8">
        <v>2.0</v>
      </c>
      <c r="N7" s="10"/>
      <c r="O7" s="29" t="s">
        <v>200</v>
      </c>
      <c r="P7" s="8" t="s">
        <v>201</v>
      </c>
      <c r="Q7" s="8" t="s">
        <v>202</v>
      </c>
      <c r="R7" s="8" t="s">
        <v>203</v>
      </c>
      <c r="S7" s="10"/>
      <c r="T7" s="10"/>
      <c r="U7" s="10"/>
      <c r="V7" s="10"/>
      <c r="W7" s="10"/>
    </row>
    <row r="8">
      <c r="G8" s="10"/>
      <c r="H8" s="10"/>
      <c r="I8" s="10"/>
      <c r="J8" s="8"/>
      <c r="K8" s="8"/>
      <c r="L8" s="10"/>
      <c r="M8" s="8"/>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sheetData>
  <mergeCells count="1">
    <mergeCell ref="A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2" t="s">
        <v>204</v>
      </c>
      <c r="G1" s="21"/>
      <c r="H1" s="21"/>
      <c r="I1" s="21"/>
      <c r="J1" s="21"/>
      <c r="K1" s="21"/>
      <c r="L1" s="21"/>
      <c r="M1" s="22"/>
      <c r="N1" s="22"/>
      <c r="O1" s="22"/>
      <c r="P1" s="22"/>
      <c r="Q1" s="8"/>
      <c r="R1" s="8"/>
      <c r="S1" s="21"/>
      <c r="T1" s="21"/>
      <c r="U1" s="10"/>
      <c r="V1" s="10"/>
      <c r="W1" s="10"/>
    </row>
    <row r="2">
      <c r="A2" s="2" t="s">
        <v>105</v>
      </c>
      <c r="B2" s="2" t="s">
        <v>3</v>
      </c>
      <c r="C2" s="5" t="s">
        <v>106</v>
      </c>
      <c r="D2" s="5" t="s">
        <v>107</v>
      </c>
      <c r="E2" s="2" t="s">
        <v>108</v>
      </c>
      <c r="F2" s="2" t="s">
        <v>109</v>
      </c>
      <c r="G2" s="5" t="s">
        <v>16</v>
      </c>
      <c r="H2" s="5" t="s">
        <v>17</v>
      </c>
      <c r="I2" s="5" t="s">
        <v>18</v>
      </c>
      <c r="J2" s="5" t="s">
        <v>19</v>
      </c>
      <c r="K2" s="5" t="s">
        <v>20</v>
      </c>
      <c r="L2" s="5" t="s">
        <v>21</v>
      </c>
      <c r="M2" s="2" t="s">
        <v>22</v>
      </c>
      <c r="N2" s="2" t="s">
        <v>23</v>
      </c>
      <c r="O2" s="2" t="s">
        <v>110</v>
      </c>
      <c r="P2" s="2" t="s">
        <v>111</v>
      </c>
      <c r="Q2" s="3" t="s">
        <v>112</v>
      </c>
      <c r="R2" s="3" t="s">
        <v>113</v>
      </c>
      <c r="S2" s="5" t="s">
        <v>114</v>
      </c>
      <c r="T2" s="23" t="s">
        <v>115</v>
      </c>
      <c r="U2" s="24"/>
      <c r="V2" s="24"/>
      <c r="W2" s="24"/>
      <c r="X2" s="6"/>
      <c r="Y2" s="6"/>
      <c r="Z2" s="6"/>
      <c r="AA2" s="6"/>
    </row>
    <row r="3">
      <c r="A3" s="25">
        <v>1.0</v>
      </c>
      <c r="B3" s="25" t="s">
        <v>116</v>
      </c>
      <c r="C3" s="25">
        <f>D3+E3</f>
        <v>7</v>
      </c>
      <c r="D3" s="25">
        <f>sum(G3:N3)</f>
        <v>6</v>
      </c>
      <c r="E3" s="25">
        <v>1.0</v>
      </c>
      <c r="F3" s="25" t="s">
        <v>117</v>
      </c>
      <c r="G3" s="25">
        <v>3.0</v>
      </c>
      <c r="H3" s="25">
        <v>1.0</v>
      </c>
      <c r="I3" s="26"/>
      <c r="J3" s="26"/>
      <c r="K3" s="26"/>
      <c r="L3" s="25">
        <v>0.5</v>
      </c>
      <c r="M3" s="25">
        <v>1.0</v>
      </c>
      <c r="N3" s="25">
        <v>0.5</v>
      </c>
      <c r="O3" s="25" t="s">
        <v>118</v>
      </c>
      <c r="P3" s="25" t="s">
        <v>119</v>
      </c>
      <c r="Q3" s="25" t="s">
        <v>120</v>
      </c>
      <c r="R3" s="25" t="s">
        <v>121</v>
      </c>
      <c r="S3" s="25" t="s">
        <v>122</v>
      </c>
      <c r="T3" s="25">
        <v>6.0</v>
      </c>
      <c r="U3" s="10"/>
      <c r="V3" s="10"/>
      <c r="W3" s="26"/>
      <c r="X3" s="27"/>
      <c r="Y3" s="27"/>
      <c r="Z3" s="27"/>
      <c r="AA3" s="27"/>
    </row>
    <row r="4">
      <c r="A4" s="9">
        <v>1.0</v>
      </c>
      <c r="B4" s="9" t="s">
        <v>205</v>
      </c>
      <c r="C4" s="9">
        <v>9.0</v>
      </c>
      <c r="D4" s="9">
        <v>8.0</v>
      </c>
      <c r="E4" s="9">
        <v>1.0</v>
      </c>
      <c r="F4" s="8" t="s">
        <v>206</v>
      </c>
      <c r="G4" s="8">
        <v>2.0</v>
      </c>
      <c r="H4" s="8">
        <v>1.0</v>
      </c>
      <c r="I4" s="10"/>
      <c r="J4" s="10"/>
      <c r="K4" s="8">
        <v>1.0</v>
      </c>
      <c r="L4" s="10"/>
      <c r="M4" s="8">
        <v>1.0</v>
      </c>
      <c r="N4" s="8">
        <v>3.0</v>
      </c>
      <c r="O4" s="8" t="s">
        <v>207</v>
      </c>
      <c r="P4" s="8" t="s">
        <v>208</v>
      </c>
      <c r="Q4" s="8" t="s">
        <v>209</v>
      </c>
      <c r="R4" s="8" t="s">
        <v>210</v>
      </c>
      <c r="S4" s="8" t="s">
        <v>211</v>
      </c>
      <c r="T4" s="8">
        <v>10.0</v>
      </c>
      <c r="U4" s="10"/>
      <c r="V4" s="10"/>
      <c r="W4" s="10"/>
    </row>
    <row r="5">
      <c r="A5" s="30">
        <v>45691.0</v>
      </c>
      <c r="B5" s="9" t="s">
        <v>212</v>
      </c>
      <c r="C5" s="9">
        <v>10.0</v>
      </c>
      <c r="D5" s="9">
        <v>8.0</v>
      </c>
      <c r="E5" s="9">
        <v>2.0</v>
      </c>
      <c r="F5" s="8" t="s">
        <v>213</v>
      </c>
      <c r="G5" s="8">
        <v>2.5</v>
      </c>
      <c r="H5" s="8"/>
      <c r="I5" s="10"/>
      <c r="J5" s="8">
        <v>2.0</v>
      </c>
      <c r="K5" s="8">
        <v>0.5</v>
      </c>
      <c r="L5" s="10"/>
      <c r="M5" s="8">
        <v>2.0</v>
      </c>
      <c r="N5" s="8">
        <v>1.0</v>
      </c>
      <c r="O5" s="8" t="s">
        <v>207</v>
      </c>
      <c r="P5" s="8" t="s">
        <v>214</v>
      </c>
      <c r="Q5" s="8" t="s">
        <v>215</v>
      </c>
      <c r="R5" s="8" t="s">
        <v>216</v>
      </c>
      <c r="S5" s="8" t="s">
        <v>217</v>
      </c>
      <c r="T5" s="8">
        <v>10.0</v>
      </c>
      <c r="U5" s="10"/>
      <c r="V5" s="10"/>
      <c r="W5" s="10"/>
    </row>
    <row r="6">
      <c r="A6" s="30">
        <v>45752.0</v>
      </c>
      <c r="B6" s="9" t="s">
        <v>218</v>
      </c>
      <c r="C6" s="9">
        <v>17.0</v>
      </c>
      <c r="D6" s="9">
        <v>15.0</v>
      </c>
      <c r="E6" s="9">
        <v>2.0</v>
      </c>
      <c r="F6" s="8" t="s">
        <v>219</v>
      </c>
      <c r="G6" s="8">
        <v>2.0</v>
      </c>
      <c r="H6" s="8">
        <v>1.0</v>
      </c>
      <c r="I6" s="8">
        <v>1.0</v>
      </c>
      <c r="J6" s="8">
        <v>1.0</v>
      </c>
      <c r="K6" s="8">
        <v>7.0</v>
      </c>
      <c r="L6" s="10"/>
      <c r="M6" s="8">
        <v>2.0</v>
      </c>
      <c r="N6" s="8">
        <v>1.0</v>
      </c>
      <c r="O6" s="8" t="s">
        <v>220</v>
      </c>
      <c r="P6" s="8" t="s">
        <v>221</v>
      </c>
      <c r="Q6" s="8" t="s">
        <v>222</v>
      </c>
      <c r="R6" s="8" t="s">
        <v>223</v>
      </c>
      <c r="S6" s="8" t="s">
        <v>224</v>
      </c>
      <c r="T6" s="10"/>
      <c r="U6" s="10"/>
      <c r="V6" s="10"/>
      <c r="W6" s="10"/>
    </row>
    <row r="7">
      <c r="A7" s="9">
        <v>6.0</v>
      </c>
      <c r="B7" s="9" t="s">
        <v>225</v>
      </c>
      <c r="C7" s="9">
        <v>11.0</v>
      </c>
      <c r="D7" s="9">
        <v>10.0</v>
      </c>
      <c r="E7" s="9">
        <v>1.0</v>
      </c>
      <c r="F7" s="8" t="s">
        <v>226</v>
      </c>
      <c r="G7" s="10"/>
      <c r="H7" s="8">
        <v>1.0</v>
      </c>
      <c r="I7" s="10"/>
      <c r="J7" s="10"/>
      <c r="K7" s="8">
        <v>8.0</v>
      </c>
      <c r="L7" s="10"/>
      <c r="M7" s="10"/>
      <c r="N7" s="8">
        <v>1.0</v>
      </c>
      <c r="O7" s="8" t="s">
        <v>220</v>
      </c>
      <c r="P7" s="8" t="s">
        <v>227</v>
      </c>
      <c r="Q7" s="10"/>
      <c r="R7" s="10"/>
      <c r="S7" s="10"/>
      <c r="T7" s="10"/>
      <c r="U7" s="10"/>
      <c r="V7" s="10"/>
      <c r="W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sheetData>
  <mergeCells count="1">
    <mergeCell ref="A1:F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2" t="s">
        <v>228</v>
      </c>
      <c r="G1" s="21"/>
      <c r="H1" s="21"/>
      <c r="I1" s="21"/>
      <c r="J1" s="21"/>
      <c r="K1" s="21"/>
      <c r="L1" s="21"/>
      <c r="M1" s="22"/>
      <c r="N1" s="22"/>
      <c r="O1" s="22"/>
      <c r="P1" s="22"/>
      <c r="Q1" s="8"/>
      <c r="R1" s="8"/>
      <c r="S1" s="21"/>
      <c r="T1" s="21"/>
      <c r="U1" s="10"/>
      <c r="V1" s="10"/>
      <c r="W1" s="10"/>
    </row>
    <row r="2">
      <c r="A2" s="2" t="s">
        <v>105</v>
      </c>
      <c r="B2" s="2" t="s">
        <v>3</v>
      </c>
      <c r="C2" s="5" t="s">
        <v>106</v>
      </c>
      <c r="D2" s="5" t="s">
        <v>107</v>
      </c>
      <c r="E2" s="2" t="s">
        <v>108</v>
      </c>
      <c r="F2" s="2" t="s">
        <v>109</v>
      </c>
      <c r="G2" s="5" t="s">
        <v>16</v>
      </c>
      <c r="H2" s="5" t="s">
        <v>17</v>
      </c>
      <c r="I2" s="5" t="s">
        <v>18</v>
      </c>
      <c r="J2" s="5" t="s">
        <v>19</v>
      </c>
      <c r="K2" s="5" t="s">
        <v>20</v>
      </c>
      <c r="L2" s="5" t="s">
        <v>21</v>
      </c>
      <c r="M2" s="2" t="s">
        <v>22</v>
      </c>
      <c r="N2" s="2" t="s">
        <v>23</v>
      </c>
      <c r="O2" s="2" t="s">
        <v>110</v>
      </c>
      <c r="P2" s="2" t="s">
        <v>111</v>
      </c>
      <c r="Q2" s="3" t="s">
        <v>112</v>
      </c>
      <c r="R2" s="3" t="s">
        <v>113</v>
      </c>
      <c r="S2" s="5" t="s">
        <v>114</v>
      </c>
      <c r="T2" s="23" t="s">
        <v>115</v>
      </c>
      <c r="U2" s="24"/>
      <c r="V2" s="24"/>
      <c r="W2" s="24"/>
      <c r="X2" s="6"/>
      <c r="Y2" s="6"/>
      <c r="Z2" s="6"/>
      <c r="AA2" s="6"/>
    </row>
    <row r="3">
      <c r="A3" s="25">
        <v>1.0</v>
      </c>
      <c r="B3" s="25" t="s">
        <v>116</v>
      </c>
      <c r="C3" s="25">
        <f>D3+E3</f>
        <v>7</v>
      </c>
      <c r="D3" s="25">
        <f>sum(G3:N3)</f>
        <v>6</v>
      </c>
      <c r="E3" s="25">
        <v>1.0</v>
      </c>
      <c r="F3" s="25" t="s">
        <v>117</v>
      </c>
      <c r="G3" s="25">
        <v>3.0</v>
      </c>
      <c r="H3" s="25">
        <v>1.0</v>
      </c>
      <c r="I3" s="26"/>
      <c r="J3" s="26"/>
      <c r="K3" s="26"/>
      <c r="L3" s="25">
        <v>0.5</v>
      </c>
      <c r="M3" s="25">
        <v>1.0</v>
      </c>
      <c r="N3" s="25">
        <v>0.5</v>
      </c>
      <c r="O3" s="25" t="s">
        <v>118</v>
      </c>
      <c r="P3" s="25" t="s">
        <v>119</v>
      </c>
      <c r="Q3" s="25" t="s">
        <v>120</v>
      </c>
      <c r="R3" s="25" t="s">
        <v>121</v>
      </c>
      <c r="S3" s="25" t="s">
        <v>122</v>
      </c>
      <c r="T3" s="25">
        <v>6.0</v>
      </c>
      <c r="U3" s="10"/>
      <c r="V3" s="10"/>
      <c r="W3" s="26"/>
      <c r="X3" s="27"/>
      <c r="Y3" s="27"/>
      <c r="Z3" s="27"/>
      <c r="AA3" s="27"/>
    </row>
    <row r="4">
      <c r="A4" s="9">
        <v>3.0</v>
      </c>
      <c r="B4" s="9" t="s">
        <v>212</v>
      </c>
      <c r="C4" s="9">
        <v>8.0</v>
      </c>
      <c r="D4" s="9">
        <v>6.0</v>
      </c>
      <c r="E4" s="9">
        <v>2.0</v>
      </c>
      <c r="F4" s="8" t="s">
        <v>229</v>
      </c>
      <c r="G4" s="8">
        <v>2.0</v>
      </c>
      <c r="H4" s="8"/>
      <c r="I4" s="8">
        <v>2.0</v>
      </c>
      <c r="J4" s="8">
        <v>4.0</v>
      </c>
      <c r="K4" s="10"/>
      <c r="L4" s="8">
        <v>2.0</v>
      </c>
      <c r="M4" s="8"/>
      <c r="N4" s="8"/>
      <c r="O4" s="8" t="s">
        <v>230</v>
      </c>
      <c r="P4" s="8" t="s">
        <v>231</v>
      </c>
      <c r="Q4" s="8" t="s">
        <v>232</v>
      </c>
      <c r="R4" s="8" t="s">
        <v>233</v>
      </c>
      <c r="S4" s="8" t="s">
        <v>234</v>
      </c>
      <c r="T4" s="8">
        <v>6.0</v>
      </c>
      <c r="U4" s="10"/>
      <c r="V4" s="10"/>
      <c r="W4" s="10"/>
    </row>
    <row r="5">
      <c r="A5" s="9">
        <v>4.0</v>
      </c>
      <c r="B5" s="9" t="s">
        <v>235</v>
      </c>
      <c r="C5" s="9">
        <v>14.0</v>
      </c>
      <c r="D5" s="9">
        <v>12.0</v>
      </c>
      <c r="E5" s="9">
        <v>2.0</v>
      </c>
      <c r="F5" s="9" t="s">
        <v>236</v>
      </c>
      <c r="G5" s="8">
        <v>4.0</v>
      </c>
      <c r="H5" s="10"/>
      <c r="I5" s="8">
        <v>4.0</v>
      </c>
      <c r="J5" s="8">
        <v>4.0</v>
      </c>
      <c r="K5" s="10"/>
      <c r="L5" s="8">
        <v>2.0</v>
      </c>
      <c r="M5" s="10"/>
      <c r="N5" s="10"/>
      <c r="O5" s="10"/>
      <c r="P5" s="8" t="s">
        <v>237</v>
      </c>
      <c r="Q5" s="8" t="s">
        <v>238</v>
      </c>
      <c r="R5" s="8" t="s">
        <v>239</v>
      </c>
      <c r="S5" s="8" t="s">
        <v>240</v>
      </c>
      <c r="T5" s="8">
        <v>8.0</v>
      </c>
      <c r="U5" s="10"/>
      <c r="V5" s="10"/>
      <c r="W5" s="10"/>
    </row>
    <row r="6">
      <c r="A6" s="9">
        <v>5.0</v>
      </c>
      <c r="B6" s="9" t="s">
        <v>241</v>
      </c>
      <c r="C6" s="9">
        <v>8.0</v>
      </c>
      <c r="D6" s="9">
        <v>7.0</v>
      </c>
      <c r="E6" s="9">
        <v>1.0</v>
      </c>
      <c r="F6" s="9" t="s">
        <v>242</v>
      </c>
      <c r="G6" s="8">
        <v>3.0</v>
      </c>
      <c r="H6" s="10"/>
      <c r="I6" s="10"/>
      <c r="J6" s="10"/>
      <c r="K6" s="10"/>
      <c r="L6" s="8">
        <v>1.0</v>
      </c>
      <c r="M6" s="8">
        <v>4.0</v>
      </c>
      <c r="N6" s="10"/>
      <c r="O6" s="8" t="s">
        <v>243</v>
      </c>
      <c r="P6" s="8" t="s">
        <v>244</v>
      </c>
      <c r="Q6" s="8" t="s">
        <v>245</v>
      </c>
      <c r="R6" s="8" t="s">
        <v>246</v>
      </c>
      <c r="S6" s="8" t="s">
        <v>247</v>
      </c>
      <c r="T6" s="10"/>
      <c r="U6" s="10"/>
      <c r="V6" s="10"/>
      <c r="W6" s="10"/>
    </row>
    <row r="7">
      <c r="G7" s="10"/>
      <c r="H7" s="10"/>
      <c r="I7" s="10"/>
      <c r="J7" s="10"/>
      <c r="K7" s="10"/>
      <c r="L7" s="10"/>
      <c r="M7" s="10"/>
      <c r="N7" s="10"/>
      <c r="O7" s="10"/>
      <c r="P7" s="10"/>
      <c r="Q7" s="10"/>
      <c r="R7" s="10"/>
      <c r="S7" s="10"/>
      <c r="T7" s="10"/>
      <c r="U7" s="10"/>
      <c r="V7" s="10"/>
      <c r="W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50.63"/>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2" t="s">
        <v>248</v>
      </c>
      <c r="G1" s="21"/>
      <c r="H1" s="21"/>
      <c r="I1" s="21"/>
      <c r="J1" s="21"/>
      <c r="K1" s="21"/>
      <c r="L1" s="21"/>
      <c r="M1" s="22"/>
      <c r="N1" s="22"/>
      <c r="O1" s="22"/>
      <c r="P1" s="22"/>
      <c r="Q1" s="8"/>
      <c r="R1" s="8"/>
      <c r="S1" s="21"/>
      <c r="T1" s="21"/>
      <c r="U1" s="10"/>
      <c r="V1" s="10"/>
      <c r="W1" s="10"/>
    </row>
    <row r="2">
      <c r="A2" s="2" t="s">
        <v>105</v>
      </c>
      <c r="B2" s="2" t="s">
        <v>3</v>
      </c>
      <c r="C2" s="5" t="s">
        <v>106</v>
      </c>
      <c r="D2" s="5" t="s">
        <v>107</v>
      </c>
      <c r="E2" s="2" t="s">
        <v>108</v>
      </c>
      <c r="F2" s="2" t="s">
        <v>109</v>
      </c>
      <c r="G2" s="5" t="s">
        <v>16</v>
      </c>
      <c r="H2" s="5" t="s">
        <v>17</v>
      </c>
      <c r="I2" s="5" t="s">
        <v>18</v>
      </c>
      <c r="J2" s="5" t="s">
        <v>19</v>
      </c>
      <c r="K2" s="5" t="s">
        <v>20</v>
      </c>
      <c r="L2" s="5" t="s">
        <v>21</v>
      </c>
      <c r="M2" s="2" t="s">
        <v>22</v>
      </c>
      <c r="N2" s="2" t="s">
        <v>23</v>
      </c>
      <c r="O2" s="2" t="s">
        <v>110</v>
      </c>
      <c r="P2" s="2" t="s">
        <v>111</v>
      </c>
      <c r="Q2" s="3" t="s">
        <v>112</v>
      </c>
      <c r="R2" s="3" t="s">
        <v>113</v>
      </c>
      <c r="S2" s="5" t="s">
        <v>114</v>
      </c>
      <c r="T2" s="23" t="s">
        <v>115</v>
      </c>
      <c r="U2" s="24"/>
      <c r="V2" s="24"/>
      <c r="W2" s="24"/>
      <c r="X2" s="6"/>
      <c r="Y2" s="6"/>
      <c r="Z2" s="6"/>
      <c r="AA2" s="6"/>
    </row>
    <row r="3">
      <c r="A3" s="25">
        <v>1.0</v>
      </c>
      <c r="B3" s="25" t="s">
        <v>116</v>
      </c>
      <c r="C3" s="25">
        <f>D3+E3</f>
        <v>7</v>
      </c>
      <c r="D3" s="25">
        <f>sum(G3:N3)</f>
        <v>6</v>
      </c>
      <c r="E3" s="25">
        <v>1.0</v>
      </c>
      <c r="F3" s="25" t="s">
        <v>117</v>
      </c>
      <c r="G3" s="25">
        <v>3.0</v>
      </c>
      <c r="H3" s="25">
        <v>1.0</v>
      </c>
      <c r="I3" s="26"/>
      <c r="J3" s="26"/>
      <c r="K3" s="26"/>
      <c r="L3" s="25">
        <v>0.5</v>
      </c>
      <c r="M3" s="25">
        <v>1.0</v>
      </c>
      <c r="N3" s="25">
        <v>0.5</v>
      </c>
      <c r="O3" s="25" t="s">
        <v>118</v>
      </c>
      <c r="P3" s="25" t="s">
        <v>119</v>
      </c>
      <c r="Q3" s="25" t="s">
        <v>120</v>
      </c>
      <c r="R3" s="25" t="s">
        <v>121</v>
      </c>
      <c r="S3" s="25" t="s">
        <v>122</v>
      </c>
      <c r="T3" s="25">
        <v>6.0</v>
      </c>
      <c r="U3" s="10"/>
      <c r="V3" s="10"/>
      <c r="W3" s="26"/>
      <c r="X3" s="27"/>
      <c r="Y3" s="27"/>
      <c r="Z3" s="27"/>
      <c r="AA3" s="27"/>
    </row>
    <row r="4" ht="218.25" customHeight="1">
      <c r="A4" s="9">
        <v>2.0</v>
      </c>
      <c r="B4" s="9" t="s">
        <v>131</v>
      </c>
      <c r="C4" s="9">
        <v>15.0</v>
      </c>
      <c r="D4" s="9">
        <v>14.0</v>
      </c>
      <c r="E4" s="9">
        <v>1.0</v>
      </c>
      <c r="F4" s="8" t="s">
        <v>249</v>
      </c>
      <c r="G4" s="9">
        <v>4.0</v>
      </c>
      <c r="H4" s="8">
        <v>3.0</v>
      </c>
      <c r="I4" s="8">
        <v>2.0</v>
      </c>
      <c r="J4" s="8">
        <v>2.0</v>
      </c>
      <c r="K4" s="8">
        <v>2.0</v>
      </c>
      <c r="L4" s="8">
        <v>1.0</v>
      </c>
      <c r="M4" s="8">
        <v>1.0</v>
      </c>
      <c r="N4" s="8">
        <v>1.0</v>
      </c>
      <c r="O4" s="8" t="s">
        <v>250</v>
      </c>
      <c r="P4" s="8" t="s">
        <v>251</v>
      </c>
      <c r="Q4" s="8" t="s">
        <v>252</v>
      </c>
      <c r="R4" s="8" t="s">
        <v>253</v>
      </c>
      <c r="S4" s="8" t="s">
        <v>254</v>
      </c>
      <c r="T4" s="8">
        <v>15.0</v>
      </c>
      <c r="U4" s="10"/>
      <c r="V4" s="10"/>
      <c r="W4" s="10"/>
    </row>
    <row r="5">
      <c r="A5" s="9">
        <v>3.0</v>
      </c>
      <c r="B5" s="9" t="s">
        <v>35</v>
      </c>
      <c r="C5" s="9">
        <v>21.0</v>
      </c>
      <c r="D5" s="9">
        <v>19.0</v>
      </c>
      <c r="E5" s="9">
        <v>2.0</v>
      </c>
      <c r="F5" s="8" t="s">
        <v>255</v>
      </c>
      <c r="G5" s="8">
        <v>3.0</v>
      </c>
      <c r="H5" s="8">
        <v>1.0</v>
      </c>
      <c r="I5" s="8">
        <v>3.0</v>
      </c>
      <c r="J5" s="8">
        <v>6.0</v>
      </c>
      <c r="K5" s="8">
        <v>3.0</v>
      </c>
      <c r="L5" s="8">
        <v>2.5</v>
      </c>
      <c r="M5" s="8">
        <v>6.0</v>
      </c>
      <c r="N5" s="10"/>
      <c r="O5" s="8" t="s">
        <v>256</v>
      </c>
      <c r="P5" s="8" t="s">
        <v>257</v>
      </c>
      <c r="Q5" s="8" t="s">
        <v>258</v>
      </c>
      <c r="R5" s="8" t="s">
        <v>259</v>
      </c>
      <c r="S5" s="8" t="s">
        <v>260</v>
      </c>
      <c r="T5" s="8">
        <v>20.0</v>
      </c>
      <c r="U5" s="10"/>
      <c r="V5" s="10"/>
      <c r="W5" s="10"/>
    </row>
    <row r="6">
      <c r="A6" s="8">
        <v>4.0</v>
      </c>
      <c r="B6" s="8" t="s">
        <v>40</v>
      </c>
      <c r="C6" s="8">
        <v>11.0</v>
      </c>
      <c r="D6" s="8">
        <v>10.0</v>
      </c>
      <c r="E6" s="8">
        <v>1.0</v>
      </c>
      <c r="F6" s="8" t="s">
        <v>261</v>
      </c>
      <c r="G6" s="8">
        <v>1.0</v>
      </c>
      <c r="H6" s="8">
        <v>0.0</v>
      </c>
      <c r="I6" s="8">
        <v>0.0</v>
      </c>
      <c r="J6" s="8">
        <v>2.0</v>
      </c>
      <c r="K6" s="8">
        <v>2.0</v>
      </c>
      <c r="L6" s="8">
        <v>0.0</v>
      </c>
      <c r="M6" s="8">
        <v>1.0</v>
      </c>
      <c r="N6" s="8">
        <v>0.0</v>
      </c>
      <c r="O6" s="8" t="s">
        <v>262</v>
      </c>
      <c r="P6" s="8" t="s">
        <v>263</v>
      </c>
      <c r="Q6" s="8" t="s">
        <v>264</v>
      </c>
      <c r="R6" s="8" t="s">
        <v>265</v>
      </c>
      <c r="S6" s="10"/>
      <c r="T6" s="10"/>
      <c r="U6" s="10"/>
      <c r="V6" s="10"/>
      <c r="W6" s="10"/>
      <c r="X6" s="10"/>
      <c r="Y6" s="10"/>
      <c r="Z6" s="10"/>
      <c r="AA6" s="10"/>
    </row>
    <row r="7">
      <c r="G7" s="10"/>
      <c r="H7" s="10"/>
      <c r="I7" s="10"/>
      <c r="J7" s="10"/>
      <c r="K7" s="10"/>
      <c r="L7" s="10"/>
      <c r="M7" s="10"/>
      <c r="N7" s="10"/>
      <c r="O7" s="10"/>
      <c r="P7" s="10"/>
      <c r="Q7" s="10"/>
      <c r="R7" s="10"/>
      <c r="S7" s="10"/>
      <c r="T7" s="10"/>
      <c r="U7" s="10"/>
      <c r="V7" s="10"/>
      <c r="W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sheetData>
  <mergeCells count="1">
    <mergeCell ref="A1:F1"/>
  </mergeCells>
  <drawing r:id="rId1"/>
</worksheet>
</file>